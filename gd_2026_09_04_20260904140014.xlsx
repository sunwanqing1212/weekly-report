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图表" sheetId="1" state="visible" r:id="rId1"/>
    <sheet name="地市用户数" sheetId="2" state="visible" r:id="rId2"/>
    <sheet name="流量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0.0%"/>
    <numFmt numFmtId="167" formatCode="0_ "/>
    <numFmt numFmtId="168" formatCode="0.0_ 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sz val="14"/>
    </font>
    <font>
      <name val="宋体"/>
      <charset val="134"/>
      <b val="1"/>
      <color theme="1"/>
      <sz val="12"/>
    </font>
    <font>
      <name val="宋体"/>
      <charset val="134"/>
      <color theme="1"/>
      <sz val="14"/>
      <scheme val="minor"/>
    </font>
    <font>
      <name val="宋体"/>
      <charset val="134"/>
      <color theme="1"/>
      <sz val="14"/>
    </font>
    <font>
      <name val="宋体"/>
      <charset val="134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0.5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6" borderId="7" applyAlignment="1">
      <alignment vertical="center"/>
    </xf>
    <xf numFmtId="0" fontId="22" fillId="7" borderId="8" applyAlignment="1">
      <alignment vertical="center"/>
    </xf>
    <xf numFmtId="0" fontId="23" fillId="7" borderId="7" applyAlignment="1">
      <alignment vertical="center"/>
    </xf>
    <xf numFmtId="0" fontId="24" fillId="8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2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58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5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7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3" pivotButton="0" quotePrefix="0" xfId="0"/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0" fillId="0" borderId="14" pivotButton="0" quotePrefix="0" xfId="0"/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2" xfId="49"/>
    <cellStyle name="常规 14" xfId="50"/>
    <cellStyle name="常规 14 2" xfId="51"/>
    <cellStyle name="常规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广电全省总用户数变化情况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图表!$C$37:$AG$37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252095" rIns="38100" bIns="19050" anchor="ctr" anchorCtr="1"/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图表!$C$38:$AG$38</f>
              <numCache>
                <formatCode>0%</formatCode>
                <ptCount val="31"/>
                <pt idx="0">
                  <v>2.2883295194508e-07</v>
                </pt>
                <pt idx="1">
                  <v>2.2883295194508e-07</v>
                </pt>
                <pt idx="2">
                  <v>2.2883295194508e-07</v>
                </pt>
                <pt idx="3">
                  <v>2.2883295194508e-07</v>
                </pt>
                <pt idx="4">
                  <v>2.2883295194508e-07</v>
                </pt>
                <pt idx="5">
                  <v>2.2883295194508e-07</v>
                </pt>
                <pt idx="6">
                  <v>2.2883295194508e-07</v>
                </pt>
                <pt idx="7">
                  <v>2.2883295194508e-07</v>
                </pt>
                <pt idx="8">
                  <v>2.2883295194508e-07</v>
                </pt>
                <pt idx="9">
                  <v>2.2883295194508e-07</v>
                </pt>
                <pt idx="10">
                  <v>2.2883295194508e-07</v>
                </pt>
                <pt idx="11">
                  <v>2.2883295194508e-07</v>
                </pt>
                <pt idx="12">
                  <v>2.2883295194508e-07</v>
                </pt>
                <pt idx="13">
                  <v>2.2883295194508e-07</v>
                </pt>
                <pt idx="14">
                  <v>2.2883295194508e-07</v>
                </pt>
                <pt idx="15">
                  <v>2.2883295194508e-07</v>
                </pt>
                <pt idx="16">
                  <v>2.2883295194508e-07</v>
                </pt>
                <pt idx="17">
                  <v>2.2883295194508e-07</v>
                </pt>
                <pt idx="18">
                  <v>2.2883295194508e-07</v>
                </pt>
                <pt idx="19">
                  <v>2.2883295194508e-07</v>
                </pt>
                <pt idx="20">
                  <v>2.2883295194508e-07</v>
                </pt>
                <pt idx="21">
                  <v>2.2883295194508e-07</v>
                </pt>
                <pt idx="22">
                  <v>2.2883295194508e-07</v>
                </pt>
                <pt idx="23">
                  <v>2.2883295194508e-07</v>
                </pt>
                <pt idx="24">
                  <v>2.2883295194508e-07</v>
                </pt>
                <pt idx="25">
                  <v>2.2883295194508e-07</v>
                </pt>
                <pt idx="26">
                  <v>2.2883295194508e-07</v>
                </pt>
                <pt idx="27">
                  <v>2.2883295194508e-07</v>
                </pt>
                <pt idx="28">
                  <v>2.2883295194508e-07</v>
                </pt>
                <pt idx="29">
                  <v>2.2883295194508e-07</v>
                </pt>
                <pt idx="30">
                  <v>2.2883295194508e-07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cat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auto val="1"/>
        <lblAlgn val="ctr"/>
        <lblOffset val="100"/>
        <noMultiLvlLbl val="1"/>
      </cat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cat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auto val="1"/>
        <lblAlgn val="ctr"/>
        <lblOffset val="100"/>
        <noMultiLvlLbl val="1"/>
      </cat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</a:t>
            </a:r>
            <a:r>
              <a:rPr lang="en-US" altLang="zh-CN" sz="1440" b="1"/>
              <a:t>UPF</a:t>
            </a:r>
            <a:r>
              <a:rPr lang="zh-CN" altLang="en-US" sz="1440" b="1"/>
              <a:t>吞吐量（每日峰值）</a:t>
            </a:r>
            <a:r>
              <a:rPr lang="en-US" altLang="zh-CN" sz="1440" b="1"/>
              <a:t>/G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图表!$C$3:$AG$3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horzOverflow="clip" vert="horz" wrap="square" lIns="38100" tIns="252095" rIns="38100" bIns="19050" anchor="ctr" anchorCtr="1">
                <a:spAutoFit/>
              </a:bodyPr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图表!$C$4:$AG$4</f>
              <numCache>
                <formatCode>0%</formatCode>
                <ptCount val="31"/>
                <pt idx="0">
                  <v>0.00212765957446809</v>
                </pt>
                <pt idx="1">
                  <v>0.00212765957446809</v>
                </pt>
                <pt idx="2">
                  <v>0.00212765957446809</v>
                </pt>
                <pt idx="3">
                  <v>0.00212765957446809</v>
                </pt>
                <pt idx="4">
                  <v>0.00212765957446809</v>
                </pt>
                <pt idx="5">
                  <v>0.00212765957446809</v>
                </pt>
                <pt idx="6">
                  <v>0.00212765957446809</v>
                </pt>
                <pt idx="7">
                  <v>0.00212765957446809</v>
                </pt>
                <pt idx="8">
                  <v>0.00212765957446809</v>
                </pt>
                <pt idx="9">
                  <v>0.00212765957446809</v>
                </pt>
                <pt idx="10">
                  <v>0.00212765957446809</v>
                </pt>
                <pt idx="11">
                  <v>0.00212765957446809</v>
                </pt>
                <pt idx="12">
                  <v>0.00212765957446809</v>
                </pt>
                <pt idx="13">
                  <v>0.00212765957446809</v>
                </pt>
                <pt idx="14">
                  <v>0.00212765957446809</v>
                </pt>
                <pt idx="15">
                  <v>0.00212765957446809</v>
                </pt>
                <pt idx="16">
                  <v>0.00212765957446809</v>
                </pt>
                <pt idx="17">
                  <v>0.00212765957446809</v>
                </pt>
                <pt idx="18">
                  <v>0.00212765957446809</v>
                </pt>
                <pt idx="19">
                  <v>0.00212765957446809</v>
                </pt>
                <pt idx="20">
                  <v>0.00212765957446809</v>
                </pt>
                <pt idx="21">
                  <v>0.00212765957446809</v>
                </pt>
                <pt idx="22">
                  <v>0.00212765957446809</v>
                </pt>
                <pt idx="23">
                  <v>0.00212765957446809</v>
                </pt>
                <pt idx="24">
                  <v>0.00212765957446809</v>
                </pt>
                <pt idx="25">
                  <v>0.00212765957446809</v>
                </pt>
                <pt idx="26">
                  <v>0.00212765957446809</v>
                </pt>
                <pt idx="27">
                  <v>0.00212765957446809</v>
                </pt>
                <pt idx="28">
                  <v>0.00212765957446809</v>
                </pt>
                <pt idx="29">
                  <v>0.00212765957446809</v>
                </pt>
                <pt idx="30">
                  <v>0.00212765957446809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date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lblOffset val="100"/>
        <baseTimeUnit val="days"/>
      </date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date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lblOffset val="100"/>
        <baseTimeUnit val="days"/>
      </date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17780</colOff>
      <row>39</row>
      <rowOff>15875</rowOff>
    </from>
    <to>
      <col>17</col>
      <colOff>526415</colOff>
      <row>66</row>
      <rowOff>32385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4</row>
      <rowOff>177165</rowOff>
    </from>
    <to>
      <col>17</col>
      <colOff>523240</colOff>
      <row>33</row>
      <rowOff>172720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2:AO38"/>
  <sheetViews>
    <sheetView tabSelected="1" topLeftCell="A2" zoomScale="85" zoomScaleNormal="85" workbookViewId="0">
      <selection activeCell="C37" sqref="C37:AG37"/>
    </sheetView>
  </sheetViews>
  <sheetFormatPr baseColWidth="8" defaultColWidth="9" defaultRowHeight="14"/>
  <cols>
    <col width="18.5454545454545" customWidth="1" style="38" min="1" max="1"/>
    <col width="34" customWidth="1" style="38" min="2" max="2"/>
    <col width="16.6363636363636" customWidth="1" style="38" min="3" max="3"/>
    <col width="12.8181818181818" customWidth="1" style="38" min="4" max="15"/>
    <col width="12.6363636363636" customWidth="1" style="38" min="16" max="17"/>
    <col width="10.3636363636364" customWidth="1" style="38" min="18" max="18"/>
    <col width="11.5454545454545" customWidth="1" style="38" min="19" max="19"/>
    <col width="11.1818181818182" customWidth="1" style="38" min="20" max="20"/>
    <col width="11" customWidth="1" style="38" min="21" max="21"/>
    <col width="11.5454545454545" customWidth="1" style="38" min="22" max="22"/>
    <col width="12.8181818181818" customWidth="1" style="38" min="23" max="23"/>
    <col width="13.3636363636364" customWidth="1" style="38" min="24" max="24"/>
    <col width="10.3636363636364" customWidth="1" style="38" min="25" max="25"/>
    <col width="11.5454545454545" customWidth="1" style="38" min="26" max="26"/>
    <col width="13.7272727272727" customWidth="1" style="38" min="27" max="27"/>
    <col width="12.3636363636364" customWidth="1" style="38" min="28" max="28"/>
    <col width="11.5454545454545" customWidth="1" style="38" min="29" max="29"/>
    <col width="12.6363636363636" customWidth="1" style="38" min="30" max="30"/>
    <col width="13.7272727272727" customWidth="1" style="38" min="31" max="31"/>
    <col width="10.3636363636364" customWidth="1" style="38" min="32" max="32"/>
    <col width="12.6363636363636" customWidth="1" style="38" min="33" max="33"/>
    <col width="13.7272727272727" customWidth="1" style="38" min="34" max="34"/>
    <col width="12.6363636363636" customWidth="1" style="38" min="35" max="35"/>
    <col width="13.1818181818182" customWidth="1" style="38" min="36" max="36"/>
    <col width="9.63636363636364" customWidth="1" style="38" min="37" max="37"/>
    <col width="12.6363636363636" customWidth="1" style="38" min="38" max="44"/>
    <col width="12.8181818181818" customWidth="1" style="38" min="45" max="47"/>
    <col width="12.6363636363636" customWidth="1" style="38" min="48" max="51"/>
    <col width="12.9090909090909" customWidth="1" style="38" min="52" max="52"/>
    <col width="13.5454545454545" customWidth="1" style="38" min="53" max="63"/>
    <col width="13.8181818181818" customWidth="1" style="38" min="64" max="69"/>
    <col width="9.36363636363636" customWidth="1" style="38" min="70" max="70"/>
    <col width="9.09090909090909" customWidth="1" style="38" min="73" max="75"/>
  </cols>
  <sheetData>
    <row r="2">
      <c r="B2" s="22" t="inlineStr">
        <is>
          <t>指标</t>
        </is>
      </c>
      <c r="C2" s="21" t="inlineStr">
        <is>
          <t>06月06日</t>
        </is>
      </c>
      <c r="D2" s="21" t="inlineStr">
        <is>
          <t>06月09日</t>
        </is>
      </c>
      <c r="E2" s="21" t="inlineStr">
        <is>
          <t>06月12日</t>
        </is>
      </c>
      <c r="F2" s="21" t="inlineStr">
        <is>
          <t>06月15日</t>
        </is>
      </c>
      <c r="G2" s="21" t="inlineStr">
        <is>
          <t>06月18日</t>
        </is>
      </c>
      <c r="H2" s="21" t="inlineStr">
        <is>
          <t>06月21日</t>
        </is>
      </c>
      <c r="I2" s="21" t="inlineStr">
        <is>
          <t>06月24日</t>
        </is>
      </c>
      <c r="J2" s="21" t="inlineStr">
        <is>
          <t>06月27日</t>
        </is>
      </c>
      <c r="K2" s="21" t="inlineStr">
        <is>
          <t>06月30日</t>
        </is>
      </c>
      <c r="L2" s="21" t="inlineStr">
        <is>
          <t>07月03日</t>
        </is>
      </c>
      <c r="M2" s="21" t="inlineStr">
        <is>
          <t>07月06日</t>
        </is>
      </c>
      <c r="N2" s="21" t="inlineStr">
        <is>
          <t>07月09日</t>
        </is>
      </c>
      <c r="O2" s="21" t="inlineStr">
        <is>
          <t>07月12日</t>
        </is>
      </c>
      <c r="P2" s="21" t="inlineStr">
        <is>
          <t>07月15日</t>
        </is>
      </c>
      <c r="Q2" s="21" t="inlineStr">
        <is>
          <t>07月18日</t>
        </is>
      </c>
      <c r="R2" s="21" t="inlineStr">
        <is>
          <t>07月21日</t>
        </is>
      </c>
      <c r="S2" s="21" t="inlineStr">
        <is>
          <t>07月24日</t>
        </is>
      </c>
      <c r="T2" s="21" t="inlineStr">
        <is>
          <t>07月27日</t>
        </is>
      </c>
      <c r="U2" s="21" t="inlineStr">
        <is>
          <t>07月30日</t>
        </is>
      </c>
      <c r="V2" s="21" t="inlineStr">
        <is>
          <t>08月02日</t>
        </is>
      </c>
      <c r="W2" s="21" t="inlineStr">
        <is>
          <t>08月05日</t>
        </is>
      </c>
      <c r="X2" s="21" t="inlineStr">
        <is>
          <t>08月08日</t>
        </is>
      </c>
      <c r="Y2" s="21" t="inlineStr">
        <is>
          <t>08月11日</t>
        </is>
      </c>
      <c r="Z2" s="21" t="inlineStr">
        <is>
          <t>08月14日</t>
        </is>
      </c>
      <c r="AA2" s="21" t="inlineStr">
        <is>
          <t>08月17日</t>
        </is>
      </c>
      <c r="AB2" s="21" t="inlineStr">
        <is>
          <t>08月20日</t>
        </is>
      </c>
      <c r="AC2" s="21" t="inlineStr">
        <is>
          <t>08月23日</t>
        </is>
      </c>
      <c r="AD2" s="21" t="inlineStr">
        <is>
          <t>08月26日</t>
        </is>
      </c>
      <c r="AE2" s="21" t="inlineStr">
        <is>
          <t>08月29日</t>
        </is>
      </c>
      <c r="AF2" s="21" t="inlineStr">
        <is>
          <t>09月01日</t>
        </is>
      </c>
      <c r="AG2" s="21" t="inlineStr">
        <is>
          <t>09月03日</t>
        </is>
      </c>
    </row>
    <row r="3">
      <c r="B3" s="22" t="inlineStr">
        <is>
          <t>广电UPF吞吐量（每日峰值）/G</t>
        </is>
      </c>
      <c r="C3" s="39" t="n">
        <v>431</v>
      </c>
      <c r="D3" s="39" t="n">
        <v>452</v>
      </c>
      <c r="E3" s="39" t="n">
        <v>457</v>
      </c>
      <c r="F3" s="39" t="n">
        <v>455</v>
      </c>
      <c r="G3" s="39" t="n">
        <v>448</v>
      </c>
      <c r="H3" s="39" t="n">
        <v>441</v>
      </c>
      <c r="I3" s="39" t="n">
        <v>458</v>
      </c>
      <c r="J3" s="39" t="n">
        <v>456</v>
      </c>
      <c r="K3" s="39" t="n">
        <v>464</v>
      </c>
      <c r="L3" s="39" t="n">
        <v>445</v>
      </c>
      <c r="M3" s="39" t="n">
        <v>432</v>
      </c>
      <c r="N3" s="39" t="n">
        <v>455</v>
      </c>
      <c r="O3" s="39" t="n">
        <v>461</v>
      </c>
      <c r="P3" s="39" t="n">
        <v>440</v>
      </c>
      <c r="Q3" s="39" t="n">
        <v>460</v>
      </c>
      <c r="R3" s="39" t="n">
        <v>444</v>
      </c>
      <c r="S3" s="39" t="n">
        <v>438</v>
      </c>
      <c r="T3" s="39" t="n">
        <v>433</v>
      </c>
      <c r="U3" s="39" t="n">
        <v>442</v>
      </c>
      <c r="V3" s="39" t="n">
        <v>437</v>
      </c>
      <c r="W3" s="39" t="n">
        <v>453</v>
      </c>
      <c r="X3" s="39" t="n">
        <v>454</v>
      </c>
      <c r="Y3" s="39" t="n">
        <v>470</v>
      </c>
      <c r="Z3" s="39" t="n">
        <v>453</v>
      </c>
      <c r="AA3" s="39" t="n">
        <v>428</v>
      </c>
      <c r="AB3" s="39" t="n">
        <v>465</v>
      </c>
      <c r="AC3" s="39" t="n">
        <v>450</v>
      </c>
      <c r="AD3" s="39" t="n">
        <v>451</v>
      </c>
      <c r="AE3" s="39" t="n">
        <v>449</v>
      </c>
      <c r="AF3" s="39" t="n">
        <v>462</v>
      </c>
      <c r="AG3" s="39" t="n">
        <v>447</v>
      </c>
    </row>
    <row r="4">
      <c r="B4" s="22" t="n"/>
      <c r="C4" s="24">
        <f>C3/470</f>
        <v/>
      </c>
      <c r="D4" s="24">
        <f>D3/470</f>
        <v/>
      </c>
      <c r="E4" s="24">
        <f>E3/470</f>
        <v/>
      </c>
      <c r="F4" s="24">
        <f>F3/470</f>
        <v/>
      </c>
      <c r="G4" s="24">
        <f>G3/470</f>
        <v/>
      </c>
      <c r="H4" s="24">
        <f>H3/470</f>
        <v/>
      </c>
      <c r="I4" s="24">
        <f>I3/470</f>
        <v/>
      </c>
      <c r="J4" s="24">
        <f>J3/470</f>
        <v/>
      </c>
      <c r="K4" s="24">
        <f>K3/470</f>
        <v/>
      </c>
      <c r="L4" s="24">
        <f>L3/470</f>
        <v/>
      </c>
      <c r="M4" s="24">
        <f>M3/470</f>
        <v/>
      </c>
      <c r="N4" s="24">
        <f>N3/470</f>
        <v/>
      </c>
      <c r="O4" s="24">
        <f>O3/470</f>
        <v/>
      </c>
      <c r="P4" s="24">
        <f>P3/470</f>
        <v/>
      </c>
      <c r="Q4" s="24">
        <f>Q3/470</f>
        <v/>
      </c>
      <c r="R4" s="24">
        <f>R3/470</f>
        <v/>
      </c>
      <c r="S4" s="24">
        <f>S3/470</f>
        <v/>
      </c>
      <c r="T4" s="24">
        <f>T3/470</f>
        <v/>
      </c>
      <c r="U4" s="24">
        <f>U3/470</f>
        <v/>
      </c>
      <c r="V4" s="24">
        <f>V3/470</f>
        <v/>
      </c>
      <c r="W4" s="24">
        <f>W3/470</f>
        <v/>
      </c>
      <c r="X4" s="24">
        <f>X3/470</f>
        <v/>
      </c>
      <c r="Y4" s="24">
        <f>Y3/470</f>
        <v/>
      </c>
      <c r="Z4" s="24">
        <f>Z3/470</f>
        <v/>
      </c>
      <c r="AA4" s="24">
        <f>AA3/470</f>
        <v/>
      </c>
      <c r="AB4" s="24">
        <f>AB3/470</f>
        <v/>
      </c>
      <c r="AC4" s="24">
        <f>AC3/470</f>
        <v/>
      </c>
      <c r="AD4" s="24">
        <f>AD3/470</f>
        <v/>
      </c>
      <c r="AE4" s="24">
        <f>AE3/470</f>
        <v/>
      </c>
      <c r="AF4" s="24">
        <f>AF3/470</f>
        <v/>
      </c>
      <c r="AG4" s="24">
        <f>AG3/470</f>
        <v/>
      </c>
    </row>
    <row r="5"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Q5" s="26" t="n"/>
      <c r="AO5" s="27" t="n"/>
    </row>
    <row r="18">
      <c r="C18" s="28" t="n"/>
      <c r="D18" s="29" t="n"/>
      <c r="E18" s="29" t="n"/>
      <c r="F18" s="29" t="n"/>
      <c r="G18" s="29" t="n"/>
    </row>
    <row r="19" ht="15" customHeight="1" s="38">
      <c r="D19" s="29" t="n"/>
      <c r="E19" s="29" t="n"/>
      <c r="F19" s="29" t="n"/>
      <c r="G19" s="30" t="n"/>
    </row>
    <row r="20">
      <c r="D20" s="29" t="n"/>
      <c r="E20" s="41" t="n"/>
      <c r="F20" s="41" t="n"/>
      <c r="G20" s="32" t="n"/>
    </row>
    <row r="21">
      <c r="D21" s="29" t="n"/>
      <c r="E21" s="42" t="n"/>
      <c r="F21" s="42" t="n"/>
      <c r="G21" s="32" t="n"/>
    </row>
    <row r="22">
      <c r="C22" s="28" t="n"/>
      <c r="D22" s="29" t="n"/>
      <c r="E22" s="29" t="n"/>
      <c r="F22" s="29" t="n"/>
      <c r="G22" s="29" t="n"/>
    </row>
    <row r="23">
      <c r="D23" s="29" t="n"/>
      <c r="E23" s="29" t="n"/>
      <c r="F23" s="29" t="n"/>
      <c r="G23" s="29" t="n"/>
    </row>
    <row r="24">
      <c r="D24" s="29" t="n"/>
      <c r="E24" s="32" t="n"/>
      <c r="F24" s="32" t="n"/>
      <c r="G24" s="32" t="n"/>
      <c r="M24" s="34" t="n"/>
    </row>
    <row r="35">
      <c r="AL35" s="43" t="n"/>
      <c r="AO35" s="43" t="n"/>
    </row>
    <row r="36">
      <c r="B36" s="21" t="inlineStr">
        <is>
          <t>指标</t>
        </is>
      </c>
      <c r="C36" s="39" t="inlineStr">
        <is>
          <t>06月06日</t>
        </is>
      </c>
      <c r="D36" s="39" t="inlineStr">
        <is>
          <t>06月09日</t>
        </is>
      </c>
      <c r="E36" s="39" t="inlineStr">
        <is>
          <t>06月12日</t>
        </is>
      </c>
      <c r="F36" s="39" t="inlineStr">
        <is>
          <t>06月15日</t>
        </is>
      </c>
      <c r="G36" s="39" t="inlineStr">
        <is>
          <t>06月18日</t>
        </is>
      </c>
      <c r="H36" s="39" t="inlineStr">
        <is>
          <t>06月21日</t>
        </is>
      </c>
      <c r="I36" s="39" t="inlineStr">
        <is>
          <t>06月24日</t>
        </is>
      </c>
      <c r="J36" s="39" t="inlineStr">
        <is>
          <t>06月27日</t>
        </is>
      </c>
      <c r="K36" s="39" t="inlineStr">
        <is>
          <t>06月30日</t>
        </is>
      </c>
      <c r="L36" s="39" t="inlineStr">
        <is>
          <t>07月03日</t>
        </is>
      </c>
      <c r="M36" s="39" t="inlineStr">
        <is>
          <t>07月06日</t>
        </is>
      </c>
      <c r="N36" s="39" t="inlineStr">
        <is>
          <t>07月09日</t>
        </is>
      </c>
      <c r="O36" s="39" t="inlineStr">
        <is>
          <t>07月12日</t>
        </is>
      </c>
      <c r="P36" s="39" t="inlineStr">
        <is>
          <t>07月15日</t>
        </is>
      </c>
      <c r="Q36" s="39" t="inlineStr">
        <is>
          <t>07月18日</t>
        </is>
      </c>
      <c r="R36" s="39" t="inlineStr">
        <is>
          <t>07月21日</t>
        </is>
      </c>
      <c r="S36" s="39" t="inlineStr">
        <is>
          <t>07月24日</t>
        </is>
      </c>
      <c r="T36" s="39" t="inlineStr">
        <is>
          <t>07月27日</t>
        </is>
      </c>
      <c r="U36" s="39" t="inlineStr">
        <is>
          <t>07月30日</t>
        </is>
      </c>
      <c r="V36" s="39" t="inlineStr">
        <is>
          <t>08月02日</t>
        </is>
      </c>
      <c r="W36" s="39" t="inlineStr">
        <is>
          <t>08月05日</t>
        </is>
      </c>
      <c r="X36" s="39" t="inlineStr">
        <is>
          <t>08月08日</t>
        </is>
      </c>
      <c r="Y36" s="39" t="inlineStr">
        <is>
          <t>08月11日</t>
        </is>
      </c>
      <c r="Z36" s="39" t="inlineStr">
        <is>
          <t>08月14日</t>
        </is>
      </c>
      <c r="AA36" s="39" t="inlineStr">
        <is>
          <t>08月17日</t>
        </is>
      </c>
      <c r="AB36" s="39" t="inlineStr">
        <is>
          <t>08月20日</t>
        </is>
      </c>
      <c r="AC36" s="39" t="inlineStr">
        <is>
          <t>08月23日</t>
        </is>
      </c>
      <c r="AD36" s="39" t="inlineStr">
        <is>
          <t>08月26日</t>
        </is>
      </c>
      <c r="AE36" s="39" t="inlineStr">
        <is>
          <t>08月29日</t>
        </is>
      </c>
      <c r="AF36" s="39" t="inlineStr">
        <is>
          <t>09月01日</t>
        </is>
      </c>
      <c r="AG36" s="39" t="inlineStr">
        <is>
          <t>09月03日</t>
        </is>
      </c>
    </row>
    <row r="37">
      <c r="A37" s="36" t="n"/>
      <c r="B37" s="37" t="inlineStr">
        <is>
          <t>广电全省总用户数变化情况</t>
        </is>
      </c>
      <c r="C37" s="39" t="n">
        <v>2084876</v>
      </c>
      <c r="D37" s="39" t="n">
        <v>2066654</v>
      </c>
      <c r="E37" s="39" t="n">
        <v>2072930</v>
      </c>
      <c r="F37" s="39" t="n">
        <v>2072087</v>
      </c>
      <c r="G37" s="39" t="n">
        <v>2086470</v>
      </c>
      <c r="H37" s="39" t="n">
        <v>2088033</v>
      </c>
      <c r="I37" s="39" t="n">
        <v>2073133</v>
      </c>
      <c r="J37" s="39" t="n">
        <v>2089692</v>
      </c>
      <c r="K37" s="39" t="n">
        <v>2086935</v>
      </c>
      <c r="L37" s="39" t="n">
        <v>2085807</v>
      </c>
      <c r="M37" s="39" t="n">
        <v>2088219</v>
      </c>
      <c r="N37" s="39" t="n">
        <v>2093686</v>
      </c>
      <c r="O37" s="39" t="n">
        <v>2094723</v>
      </c>
      <c r="P37" s="39" t="n">
        <v>2095327</v>
      </c>
      <c r="Q37" s="39" t="n">
        <v>2102401</v>
      </c>
      <c r="R37" s="39" t="n">
        <v>2097666</v>
      </c>
      <c r="S37" s="39" t="n">
        <v>2096435</v>
      </c>
      <c r="T37" s="39" t="n">
        <v>2091232</v>
      </c>
      <c r="U37" s="39" t="n">
        <v>2086468</v>
      </c>
      <c r="V37" s="39" t="n">
        <v>2080751</v>
      </c>
      <c r="W37" s="39" t="n">
        <v>2076498</v>
      </c>
      <c r="X37" s="39" t="n">
        <v>2079525</v>
      </c>
      <c r="Y37" s="39" t="n">
        <v>2067868</v>
      </c>
      <c r="Z37" s="39" t="n">
        <v>2065073</v>
      </c>
      <c r="AA37" s="39" t="n">
        <v>2059293</v>
      </c>
      <c r="AB37" s="39" t="n">
        <v>2058099</v>
      </c>
      <c r="AC37" s="39" t="n">
        <v>2057970</v>
      </c>
      <c r="AD37" s="39" t="n">
        <v>2050720</v>
      </c>
      <c r="AE37" s="39" t="n">
        <v>2049201</v>
      </c>
      <c r="AF37" s="39" t="n">
        <v>2017946</v>
      </c>
      <c r="AG37" s="39" t="n">
        <v>2014118</v>
      </c>
    </row>
    <row r="38">
      <c r="B38" s="24" t="n"/>
      <c r="C38" s="24">
        <f>C37/4370000</f>
        <v/>
      </c>
      <c r="D38" s="24">
        <f>D37/4370000</f>
        <v/>
      </c>
      <c r="E38" s="24">
        <f>E37/4370000</f>
        <v/>
      </c>
      <c r="F38" s="24">
        <f>F37/4370000</f>
        <v/>
      </c>
      <c r="G38" s="24">
        <f>G37/4370000</f>
        <v/>
      </c>
      <c r="H38" s="24">
        <f>H37/4370000</f>
        <v/>
      </c>
      <c r="I38" s="24">
        <f>I37/4370000</f>
        <v/>
      </c>
      <c r="J38" s="24">
        <f>J37/4370000</f>
        <v/>
      </c>
      <c r="K38" s="24">
        <f>K37/4370000</f>
        <v/>
      </c>
      <c r="L38" s="24">
        <f>L37/4370000</f>
        <v/>
      </c>
      <c r="M38" s="24">
        <f>M37/4370000</f>
        <v/>
      </c>
      <c r="N38" s="24">
        <f>N37/4370000</f>
        <v/>
      </c>
      <c r="O38" s="24">
        <f>O37/4370000</f>
        <v/>
      </c>
      <c r="P38" s="24">
        <f>P37/4370000</f>
        <v/>
      </c>
      <c r="Q38" s="24">
        <f>Q37/4370000</f>
        <v/>
      </c>
      <c r="R38" s="24">
        <f>R37/4370000</f>
        <v/>
      </c>
      <c r="S38" s="24">
        <f>S37/4370000</f>
        <v/>
      </c>
      <c r="T38" s="24">
        <f>T37/4370000</f>
        <v/>
      </c>
      <c r="U38" s="24">
        <f>U37/4370000</f>
        <v/>
      </c>
      <c r="V38" s="24">
        <f>V37/4370000</f>
        <v/>
      </c>
      <c r="W38" s="24">
        <f>W37/4370000</f>
        <v/>
      </c>
      <c r="X38" s="24">
        <f>X37/4370000</f>
        <v/>
      </c>
      <c r="Y38" s="24">
        <f>Y37/4370000</f>
        <v/>
      </c>
      <c r="Z38" s="24">
        <f>Z37/4370000</f>
        <v/>
      </c>
      <c r="AA38" s="24">
        <f>AA37/4370000</f>
        <v/>
      </c>
      <c r="AB38" s="24">
        <f>AB37/4370000</f>
        <v/>
      </c>
      <c r="AC38" s="24">
        <f>AC37/4370000</f>
        <v/>
      </c>
      <c r="AD38" s="24">
        <f>AD37/4370000</f>
        <v/>
      </c>
      <c r="AE38" s="24">
        <f>AE37/4370000</f>
        <v/>
      </c>
      <c r="AF38" s="24">
        <f>AF37/4370000</f>
        <v/>
      </c>
      <c r="AG38" s="24">
        <f>AG37/4370000</f>
        <v/>
      </c>
    </row>
  </sheetData>
  <mergeCells count="2">
    <mergeCell ref="C22:C24"/>
    <mergeCell ref="C18:C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Q16"/>
  <sheetViews>
    <sheetView zoomScale="85" zoomScaleNormal="85" workbookViewId="0">
      <selection activeCell="J2" sqref="J2"/>
    </sheetView>
  </sheetViews>
  <sheetFormatPr baseColWidth="8" defaultColWidth="9" defaultRowHeight="14"/>
  <cols>
    <col width="9.09090909090909" customWidth="1" style="38" min="1" max="1"/>
    <col width="26.0909090909091" customWidth="1" style="38" min="2" max="2"/>
    <col width="14.4545454545455" customWidth="1" style="38" min="3" max="3"/>
    <col width="16" customWidth="1" style="38" min="4" max="4"/>
    <col width="14.5454545454545" customWidth="1" style="38" min="5" max="5"/>
    <col width="17.6363636363636" customWidth="1" style="38" min="6" max="8"/>
    <col width="16.5454545454545" customWidth="1" style="38" min="9" max="9"/>
    <col width="12.7272727272727" customWidth="1" style="38" min="10" max="10"/>
    <col width="12.3636363636364" customWidth="1" style="38" min="11" max="13"/>
    <col width="10.3636363636364" customWidth="1" style="38" min="14" max="17"/>
  </cols>
  <sheetData>
    <row r="1" ht="36" customHeight="1" s="38">
      <c r="A1" s="8" t="inlineStr">
        <is>
          <t>广电分地市用户数趋势/户</t>
        </is>
      </c>
      <c r="B1" s="44" t="n"/>
      <c r="C1" s="44" t="n"/>
      <c r="D1" s="44" t="n"/>
      <c r="E1" s="44" t="n"/>
      <c r="F1" s="44" t="n"/>
      <c r="G1" s="44" t="n"/>
      <c r="H1" s="44" t="n"/>
      <c r="J1" s="8" t="inlineStr">
        <is>
          <t>广电分地市用户数/户</t>
        </is>
      </c>
      <c r="K1" s="44" t="n"/>
      <c r="L1" s="44" t="n"/>
      <c r="M1" s="44" t="n"/>
      <c r="N1" s="44" t="n"/>
      <c r="O1" s="44" t="n"/>
      <c r="P1" s="44" t="n"/>
      <c r="Q1" s="44" t="n"/>
    </row>
    <row r="2" ht="72" customHeight="1" s="38">
      <c r="A2" s="10" t="inlineStr">
        <is>
          <t>地市</t>
        </is>
      </c>
      <c r="B2" s="11" t="inlineStr">
        <is>
          <t>2025-1-6(具备分地市统计能力)</t>
        </is>
      </c>
      <c r="C2" s="12" t="inlineStr">
        <is>
          <t>2026-8-03(上月)</t>
        </is>
      </c>
      <c r="D2" s="12" t="inlineStr">
        <is>
          <t>2026-08-27(上周)</t>
        </is>
      </c>
      <c r="E2" s="13" t="inlineStr">
        <is>
          <t>2026-09-03</t>
        </is>
      </c>
      <c r="F2" s="10" t="inlineStr">
        <is>
          <t>较去年增幅</t>
        </is>
      </c>
      <c r="G2" s="10" t="inlineStr">
        <is>
          <t>较上月增幅</t>
        </is>
      </c>
      <c r="H2" s="10" t="inlineStr">
        <is>
          <t>较上周增幅</t>
        </is>
      </c>
      <c r="J2" s="10" t="inlineStr">
        <is>
          <t>地市</t>
        </is>
      </c>
      <c r="K2" s="11" t="inlineStr">
        <is>
          <t>08月28日</t>
        </is>
      </c>
      <c r="L2" s="11" t="inlineStr">
        <is>
          <t>08月29日</t>
        </is>
      </c>
      <c r="M2" s="11" t="inlineStr">
        <is>
          <t>08月30日</t>
        </is>
      </c>
      <c r="N2" s="14" t="inlineStr">
        <is>
          <t>08月31日</t>
        </is>
      </c>
      <c r="O2" s="14" t="inlineStr">
        <is>
          <t>09月01日</t>
        </is>
      </c>
      <c r="P2" s="14" t="inlineStr">
        <is>
          <t>09月02日</t>
        </is>
      </c>
      <c r="Q2" s="14" t="inlineStr">
        <is>
          <t>09月03日</t>
        </is>
      </c>
    </row>
    <row r="3" ht="17.5" customHeight="1" s="38">
      <c r="A3" s="15" t="inlineStr">
        <is>
          <t>苏州</t>
        </is>
      </c>
      <c r="B3" s="16" t="n">
        <v>289090</v>
      </c>
      <c r="C3" s="16" t="n">
        <v>479963</v>
      </c>
      <c r="D3" s="16" t="n">
        <v>464032</v>
      </c>
      <c r="E3" s="16" t="n">
        <v>458995</v>
      </c>
      <c r="F3" s="45" t="inlineStr">
        <is>
          <t>58.8%</t>
        </is>
      </c>
      <c r="G3" s="45" t="inlineStr">
        <is>
          <t>-4.4%</t>
        </is>
      </c>
      <c r="H3" s="45" t="inlineStr">
        <is>
          <t>-1.1%</t>
        </is>
      </c>
      <c r="J3" s="15" t="inlineStr">
        <is>
          <t>苏州</t>
        </is>
      </c>
      <c r="K3" s="16" t="n">
        <v>463774</v>
      </c>
      <c r="L3" s="16" t="n">
        <v>463037</v>
      </c>
      <c r="M3" s="16" t="n">
        <v>461416</v>
      </c>
      <c r="N3" s="16" t="n">
        <v>458892</v>
      </c>
      <c r="O3" s="16" t="n">
        <v>457905</v>
      </c>
      <c r="P3" s="16" t="n">
        <v>458270</v>
      </c>
      <c r="Q3" s="16" t="n">
        <v>458995</v>
      </c>
    </row>
    <row r="4" ht="17.5" customHeight="1" s="38">
      <c r="A4" s="15" t="inlineStr">
        <is>
          <t>南京</t>
        </is>
      </c>
      <c r="B4" s="16" t="n">
        <v>121638</v>
      </c>
      <c r="C4" s="16" t="n">
        <v>182781</v>
      </c>
      <c r="D4" s="16" t="n">
        <v>182155</v>
      </c>
      <c r="E4" s="16" t="n">
        <v>187638</v>
      </c>
      <c r="F4" s="45" t="inlineStr">
        <is>
          <t>54.3%</t>
        </is>
      </c>
      <c r="G4" s="45" t="inlineStr">
        <is>
          <t>2.7%</t>
        </is>
      </c>
      <c r="H4" s="45" t="inlineStr">
        <is>
          <t>3.0%</t>
        </is>
      </c>
      <c r="J4" s="15" t="inlineStr">
        <is>
          <t>南京</t>
        </is>
      </c>
      <c r="K4" s="16" t="n">
        <v>184038</v>
      </c>
      <c r="L4" s="16" t="n">
        <v>185514</v>
      </c>
      <c r="M4" s="16" t="n">
        <v>186205</v>
      </c>
      <c r="N4" s="16" t="n">
        <v>186267</v>
      </c>
      <c r="O4" s="16" t="n">
        <v>186041</v>
      </c>
      <c r="P4" s="16" t="n">
        <v>186766</v>
      </c>
      <c r="Q4" s="16" t="n">
        <v>187638</v>
      </c>
    </row>
    <row r="5" ht="17.5" customHeight="1" s="38">
      <c r="A5" s="15" t="inlineStr">
        <is>
          <t>无锡</t>
        </is>
      </c>
      <c r="B5" s="16" t="n">
        <v>135390</v>
      </c>
      <c r="C5" s="16" t="n">
        <v>208660</v>
      </c>
      <c r="D5" s="16" t="n">
        <v>203535</v>
      </c>
      <c r="E5" s="16" t="n">
        <v>202507</v>
      </c>
      <c r="F5" s="45" t="inlineStr">
        <is>
          <t>49.6%</t>
        </is>
      </c>
      <c r="G5" s="45" t="inlineStr">
        <is>
          <t>-2.9%</t>
        </is>
      </c>
      <c r="H5" s="45" t="inlineStr">
        <is>
          <t>-0.5%</t>
        </is>
      </c>
      <c r="J5" s="15" t="inlineStr">
        <is>
          <t>无锡</t>
        </is>
      </c>
      <c r="K5" s="16" t="n">
        <v>203908</v>
      </c>
      <c r="L5" s="16" t="n">
        <v>203572</v>
      </c>
      <c r="M5" s="16" t="n">
        <v>202695</v>
      </c>
      <c r="N5" s="16" t="n">
        <v>203033</v>
      </c>
      <c r="O5" s="16" t="n">
        <v>202882</v>
      </c>
      <c r="P5" s="16" t="n">
        <v>202521</v>
      </c>
      <c r="Q5" s="16" t="n">
        <v>202507</v>
      </c>
    </row>
    <row r="6" ht="17.5" customHeight="1" s="38">
      <c r="A6" s="15" t="inlineStr">
        <is>
          <t>南通</t>
        </is>
      </c>
      <c r="B6" s="16" t="n">
        <v>129284</v>
      </c>
      <c r="C6" s="16" t="n">
        <v>208080</v>
      </c>
      <c r="D6" s="16" t="n">
        <v>208028</v>
      </c>
      <c r="E6" s="16" t="n">
        <v>204546</v>
      </c>
      <c r="F6" s="45" t="inlineStr">
        <is>
          <t>58.2%</t>
        </is>
      </c>
      <c r="G6" s="45" t="inlineStr">
        <is>
          <t>-1.7%</t>
        </is>
      </c>
      <c r="H6" s="45" t="inlineStr">
        <is>
          <t>-1.7%</t>
        </is>
      </c>
      <c r="J6" s="15" t="inlineStr">
        <is>
          <t>南通</t>
        </is>
      </c>
      <c r="K6" s="16" t="n">
        <v>207216</v>
      </c>
      <c r="L6" s="16" t="n">
        <v>207045</v>
      </c>
      <c r="M6" s="16" t="n">
        <v>206508</v>
      </c>
      <c r="N6" s="16" t="n">
        <v>205173</v>
      </c>
      <c r="O6" s="16" t="n">
        <v>205029</v>
      </c>
      <c r="P6" s="16" t="n">
        <v>204845</v>
      </c>
      <c r="Q6" s="16" t="n">
        <v>204546</v>
      </c>
    </row>
    <row r="7" ht="17.5" customHeight="1" s="38">
      <c r="A7" s="15" t="inlineStr">
        <is>
          <t>徐州</t>
        </is>
      </c>
      <c r="B7" s="16" t="n">
        <v>115106</v>
      </c>
      <c r="C7" s="16" t="n">
        <v>188620</v>
      </c>
      <c r="D7" s="16" t="n">
        <v>187511</v>
      </c>
      <c r="E7" s="16" t="n">
        <v>177060</v>
      </c>
      <c r="F7" s="45" t="inlineStr">
        <is>
          <t>53.8%</t>
        </is>
      </c>
      <c r="G7" s="45" t="inlineStr">
        <is>
          <t>-6.1%</t>
        </is>
      </c>
      <c r="H7" s="45" t="inlineStr">
        <is>
          <t>-5.6%</t>
        </is>
      </c>
      <c r="J7" s="15" t="inlineStr">
        <is>
          <t>徐州</t>
        </is>
      </c>
      <c r="K7" s="16" t="n">
        <v>188384</v>
      </c>
      <c r="L7" s="16" t="n">
        <v>188091</v>
      </c>
      <c r="M7" s="16" t="n">
        <v>185773</v>
      </c>
      <c r="N7" s="16" t="n">
        <v>182823</v>
      </c>
      <c r="O7" s="16" t="n">
        <v>179260</v>
      </c>
      <c r="P7" s="16" t="n">
        <v>178158</v>
      </c>
      <c r="Q7" s="16" t="n">
        <v>177060</v>
      </c>
    </row>
    <row r="8" ht="17.5" customHeight="1" s="38">
      <c r="A8" s="15" t="inlineStr">
        <is>
          <t>常州</t>
        </is>
      </c>
      <c r="B8" s="16" t="n">
        <v>91537</v>
      </c>
      <c r="C8" s="16" t="n">
        <v>119259</v>
      </c>
      <c r="D8" s="16" t="n">
        <v>114732</v>
      </c>
      <c r="E8" s="16" t="n">
        <v>113317</v>
      </c>
      <c r="F8" s="45" t="inlineStr">
        <is>
          <t>23.8%</t>
        </is>
      </c>
      <c r="G8" s="45" t="inlineStr">
        <is>
          <t>-5.0%</t>
        </is>
      </c>
      <c r="H8" s="45" t="inlineStr">
        <is>
          <t>-1.2%</t>
        </is>
      </c>
      <c r="J8" s="15" t="inlineStr">
        <is>
          <t>常州</t>
        </is>
      </c>
      <c r="K8" s="16" t="n">
        <v>115127</v>
      </c>
      <c r="L8" s="16" t="n">
        <v>115578</v>
      </c>
      <c r="M8" s="16" t="n">
        <v>114850</v>
      </c>
      <c r="N8" s="16" t="n">
        <v>114086</v>
      </c>
      <c r="O8" s="16" t="n">
        <v>113381</v>
      </c>
      <c r="P8" s="16" t="n">
        <v>112765</v>
      </c>
      <c r="Q8" s="16" t="n">
        <v>113317</v>
      </c>
    </row>
    <row r="9" ht="17.5" customHeight="1" s="38">
      <c r="A9" s="15" t="inlineStr">
        <is>
          <t>盐城</t>
        </is>
      </c>
      <c r="B9" s="16" t="n">
        <v>103172</v>
      </c>
      <c r="C9" s="16" t="n">
        <v>141997</v>
      </c>
      <c r="D9" s="16" t="n">
        <v>141661</v>
      </c>
      <c r="E9" s="16" t="n">
        <v>137156</v>
      </c>
      <c r="F9" s="45" t="inlineStr">
        <is>
          <t>32.9%</t>
        </is>
      </c>
      <c r="G9" s="45" t="inlineStr">
        <is>
          <t>-3.4%</t>
        </is>
      </c>
      <c r="H9" s="45" t="inlineStr">
        <is>
          <t>-3.2%</t>
        </is>
      </c>
      <c r="J9" s="15" t="inlineStr">
        <is>
          <t>盐城</t>
        </is>
      </c>
      <c r="K9" s="16" t="n">
        <v>140839</v>
      </c>
      <c r="L9" s="16" t="n">
        <v>140484</v>
      </c>
      <c r="M9" s="16" t="n">
        <v>139792</v>
      </c>
      <c r="N9" s="16" t="n">
        <v>139172</v>
      </c>
      <c r="O9" s="16" t="n">
        <v>137999</v>
      </c>
      <c r="P9" s="16" t="n">
        <v>137613</v>
      </c>
      <c r="Q9" s="16" t="n">
        <v>137156</v>
      </c>
    </row>
    <row r="10" ht="17.5" customHeight="1" s="38">
      <c r="A10" s="15" t="inlineStr">
        <is>
          <t>宿迁</t>
        </is>
      </c>
      <c r="B10" s="16" t="n">
        <v>71661</v>
      </c>
      <c r="C10" s="16" t="n">
        <v>103033</v>
      </c>
      <c r="D10" s="16" t="n">
        <v>103455</v>
      </c>
      <c r="E10" s="16" t="n">
        <v>99797</v>
      </c>
      <c r="F10" s="45" t="inlineStr">
        <is>
          <t>39.3%</t>
        </is>
      </c>
      <c r="G10" s="45" t="inlineStr">
        <is>
          <t>-3.1%</t>
        </is>
      </c>
      <c r="H10" s="45" t="inlineStr">
        <is>
          <t>-3.5%</t>
        </is>
      </c>
      <c r="J10" s="15" t="inlineStr">
        <is>
          <t>宿迁</t>
        </is>
      </c>
      <c r="K10" s="16" t="n">
        <v>103575</v>
      </c>
      <c r="L10" s="16" t="n">
        <v>103194</v>
      </c>
      <c r="M10" s="16" t="n">
        <v>102628</v>
      </c>
      <c r="N10" s="16" t="n">
        <v>101927</v>
      </c>
      <c r="O10" s="16" t="n">
        <v>100737</v>
      </c>
      <c r="P10" s="16" t="n">
        <v>100330</v>
      </c>
      <c r="Q10" s="16" t="n">
        <v>99797</v>
      </c>
    </row>
    <row r="11" ht="17.5" customHeight="1" s="38">
      <c r="A11" s="15" t="inlineStr">
        <is>
          <t>泰州</t>
        </is>
      </c>
      <c r="B11" s="16" t="n">
        <v>45993</v>
      </c>
      <c r="C11" s="16" t="n">
        <v>80963</v>
      </c>
      <c r="D11" s="16" t="n">
        <v>81417</v>
      </c>
      <c r="E11" s="16" t="n">
        <v>79342</v>
      </c>
      <c r="F11" s="45" t="inlineStr">
        <is>
          <t>72.5%</t>
        </is>
      </c>
      <c r="G11" s="45" t="inlineStr">
        <is>
          <t>-2.0%</t>
        </is>
      </c>
      <c r="H11" s="45" t="inlineStr">
        <is>
          <t>-2.5%</t>
        </is>
      </c>
      <c r="J11" s="15" t="inlineStr">
        <is>
          <t>泰州</t>
        </is>
      </c>
      <c r="K11" s="16" t="n">
        <v>80856</v>
      </c>
      <c r="L11" s="16" t="n">
        <v>80725</v>
      </c>
      <c r="M11" s="16" t="n">
        <v>80711</v>
      </c>
      <c r="N11" s="16" t="n">
        <v>80291</v>
      </c>
      <c r="O11" s="16" t="n">
        <v>79295</v>
      </c>
      <c r="P11" s="16" t="n">
        <v>79329</v>
      </c>
      <c r="Q11" s="16" t="n">
        <v>79342</v>
      </c>
    </row>
    <row r="12" ht="17.5" customHeight="1" s="38">
      <c r="A12" s="15" t="inlineStr">
        <is>
          <t>扬州</t>
        </is>
      </c>
      <c r="B12" s="16" t="n">
        <v>35832</v>
      </c>
      <c r="C12" s="16" t="n">
        <v>72709</v>
      </c>
      <c r="D12" s="16" t="n">
        <v>72769</v>
      </c>
      <c r="E12" s="16" t="n">
        <v>73647</v>
      </c>
      <c r="F12" s="45" t="inlineStr">
        <is>
          <t>105.5%</t>
        </is>
      </c>
      <c r="G12" s="45" t="inlineStr">
        <is>
          <t>1.3%</t>
        </is>
      </c>
      <c r="H12" s="45" t="inlineStr">
        <is>
          <t>1.2%</t>
        </is>
      </c>
      <c r="J12" s="15" t="inlineStr">
        <is>
          <t>扬州</t>
        </is>
      </c>
      <c r="K12" s="16" t="n">
        <v>73005</v>
      </c>
      <c r="L12" s="16" t="n">
        <v>73513</v>
      </c>
      <c r="M12" s="16" t="n">
        <v>73403</v>
      </c>
      <c r="N12" s="16" t="n">
        <v>73091</v>
      </c>
      <c r="O12" s="16" t="n">
        <v>73380</v>
      </c>
      <c r="P12" s="16" t="n">
        <v>73591</v>
      </c>
      <c r="Q12" s="16" t="n">
        <v>73647</v>
      </c>
    </row>
    <row r="13" ht="17.5" customHeight="1" s="38">
      <c r="A13" s="15" t="inlineStr">
        <is>
          <t>连云港</t>
        </is>
      </c>
      <c r="B13" s="16" t="n">
        <v>71782</v>
      </c>
      <c r="C13" s="16" t="n">
        <v>103163</v>
      </c>
      <c r="D13" s="16" t="n">
        <v>101551</v>
      </c>
      <c r="E13" s="16" t="n">
        <v>96615</v>
      </c>
      <c r="F13" s="45" t="inlineStr">
        <is>
          <t>34.6%</t>
        </is>
      </c>
      <c r="G13" s="45" t="inlineStr">
        <is>
          <t>-6.3%</t>
        </is>
      </c>
      <c r="H13" s="45" t="inlineStr">
        <is>
          <t>-4.9%</t>
        </is>
      </c>
      <c r="J13" s="15" t="inlineStr">
        <is>
          <t>连云港</t>
        </is>
      </c>
      <c r="K13" s="16" t="n">
        <v>101172</v>
      </c>
      <c r="L13" s="16" t="n">
        <v>101336</v>
      </c>
      <c r="M13" s="16" t="n">
        <v>101089</v>
      </c>
      <c r="N13" s="16" t="n">
        <v>99252</v>
      </c>
      <c r="O13" s="16" t="n">
        <v>97375</v>
      </c>
      <c r="P13" s="16" t="n">
        <v>96945</v>
      </c>
      <c r="Q13" s="16" t="n">
        <v>96615</v>
      </c>
    </row>
    <row r="14" ht="17.5" customHeight="1" s="38">
      <c r="A14" s="15" t="inlineStr">
        <is>
          <t>淮安</t>
        </is>
      </c>
      <c r="B14" s="16" t="n">
        <v>113053</v>
      </c>
      <c r="C14" s="16" t="n">
        <v>123538</v>
      </c>
      <c r="D14" s="16" t="n">
        <v>122697</v>
      </c>
      <c r="E14" s="16" t="n">
        <v>119530</v>
      </c>
      <c r="F14" s="45" t="inlineStr">
        <is>
          <t>5.7%</t>
        </is>
      </c>
      <c r="G14" s="45" t="inlineStr">
        <is>
          <t>-3.2%</t>
        </is>
      </c>
      <c r="H14" s="45" t="inlineStr">
        <is>
          <t>-2.6%</t>
        </is>
      </c>
      <c r="J14" s="15" t="inlineStr">
        <is>
          <t>淮安</t>
        </is>
      </c>
      <c r="K14" s="16" t="n">
        <v>122427</v>
      </c>
      <c r="L14" s="16" t="n">
        <v>122551</v>
      </c>
      <c r="M14" s="16" t="n">
        <v>122343</v>
      </c>
      <c r="N14" s="16" t="n">
        <v>121671</v>
      </c>
      <c r="O14" s="16" t="n">
        <v>120603</v>
      </c>
      <c r="P14" s="16" t="n">
        <v>120044</v>
      </c>
      <c r="Q14" s="16" t="n">
        <v>119530</v>
      </c>
    </row>
    <row r="15" ht="17.5" customHeight="1" s="38">
      <c r="A15" s="15" t="inlineStr">
        <is>
          <t>镇江</t>
        </is>
      </c>
      <c r="B15" s="16" t="n">
        <v>38671</v>
      </c>
      <c r="C15" s="16" t="n">
        <v>64805</v>
      </c>
      <c r="D15" s="16" t="n">
        <v>64333</v>
      </c>
      <c r="E15" s="16" t="n">
        <v>63968</v>
      </c>
      <c r="F15" s="45" t="inlineStr">
        <is>
          <t>65.4%</t>
        </is>
      </c>
      <c r="G15" s="45" t="inlineStr">
        <is>
          <t>-1.3%</t>
        </is>
      </c>
      <c r="H15" s="45" t="inlineStr">
        <is>
          <t>-0.6%</t>
        </is>
      </c>
      <c r="J15" s="15" t="inlineStr">
        <is>
          <t>镇江</t>
        </is>
      </c>
      <c r="K15" s="16" t="n">
        <v>64544</v>
      </c>
      <c r="L15" s="16" t="n">
        <v>64561</v>
      </c>
      <c r="M15" s="16" t="n">
        <v>65102</v>
      </c>
      <c r="N15" s="16" t="n">
        <v>64166</v>
      </c>
      <c r="O15" s="16" t="n">
        <v>64059</v>
      </c>
      <c r="P15" s="16" t="n">
        <v>63992</v>
      </c>
      <c r="Q15" s="16" t="n">
        <v>63968</v>
      </c>
    </row>
    <row r="16" ht="17.5" customHeight="1" s="38">
      <c r="A16" s="15" t="inlineStr">
        <is>
          <t>全省</t>
        </is>
      </c>
      <c r="B16" s="16" t="n">
        <v>1362209</v>
      </c>
      <c r="C16" s="16" t="n">
        <v>2077571</v>
      </c>
      <c r="D16" s="16" t="n">
        <v>2047876</v>
      </c>
      <c r="E16" s="16" t="n">
        <v>2014118</v>
      </c>
      <c r="F16" s="46" t="inlineStr">
        <is>
          <t>47.9%</t>
        </is>
      </c>
      <c r="G16" s="46" t="inlineStr">
        <is>
          <t>-3.1%</t>
        </is>
      </c>
      <c r="H16" s="46" t="inlineStr">
        <is>
          <t>-1.6%</t>
        </is>
      </c>
      <c r="J16" s="15" t="inlineStr">
        <is>
          <t>全省</t>
        </is>
      </c>
      <c r="K16" s="19" t="n">
        <v>2048865</v>
      </c>
      <c r="L16" s="19" t="n">
        <v>2049201</v>
      </c>
      <c r="M16" s="19" t="n">
        <v>2042515</v>
      </c>
      <c r="N16" s="19" t="n">
        <v>2029844</v>
      </c>
      <c r="O16" s="19" t="n">
        <v>2017946</v>
      </c>
      <c r="P16" s="19" t="n">
        <v>2015169</v>
      </c>
      <c r="Q16" s="19" t="n">
        <v>2014118</v>
      </c>
    </row>
  </sheetData>
  <mergeCells count="2">
    <mergeCell ref="J1:Q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N17"/>
  <sheetViews>
    <sheetView workbookViewId="0">
      <selection activeCell="G21" sqref="G21"/>
    </sheetView>
  </sheetViews>
  <sheetFormatPr baseColWidth="8" defaultColWidth="9" defaultRowHeight="14"/>
  <cols>
    <col width="9.81818181818182" customWidth="1" style="38" min="2" max="2"/>
    <col width="23.4545454545455" customWidth="1" style="38" min="3" max="3"/>
    <col width="27.9090909090909" customWidth="1" style="38" min="4" max="4"/>
    <col width="23.0909090909091" customWidth="1" style="38" min="5" max="5"/>
    <col width="14.2727272727273" customWidth="1" style="38" min="6" max="6"/>
    <col width="9.90909090909091" customWidth="1" style="38" min="7" max="7"/>
    <col width="12.3636363636364" customWidth="1" style="38" min="8" max="8"/>
    <col width="12.8181818181818" customWidth="1" style="38" min="9" max="9"/>
    <col width="13" customWidth="1" style="38" min="10" max="10"/>
    <col width="11.0909090909091" customWidth="1" style="38" min="11" max="11"/>
    <col width="12.2727272727273" customWidth="1" style="38" min="12" max="13"/>
    <col width="11" customWidth="1" style="38" min="14" max="14"/>
    <col width="14.6363636363636" customWidth="1" style="38" min="15" max="15"/>
  </cols>
  <sheetData>
    <row r="2" ht="17.5" customHeight="1" s="38">
      <c r="B2" s="1" t="inlineStr">
        <is>
          <t>广电月累计流量/T</t>
        </is>
      </c>
      <c r="C2" s="44" t="n"/>
      <c r="D2" s="44" t="n"/>
      <c r="E2" s="47" t="n"/>
      <c r="G2" s="1" t="inlineStr">
        <is>
          <t>广电分地市流量/T</t>
        </is>
      </c>
      <c r="H2" s="44" t="n"/>
      <c r="I2" s="44" t="n"/>
      <c r="J2" s="44" t="n"/>
      <c r="K2" s="44" t="n"/>
      <c r="L2" s="44" t="n"/>
      <c r="M2" s="44" t="n"/>
      <c r="N2" s="47" t="n"/>
    </row>
    <row r="3" ht="60" customHeight="1" s="38">
      <c r="B3" s="1" t="inlineStr">
        <is>
          <t>地市</t>
        </is>
      </c>
      <c r="C3" s="1" t="inlineStr">
        <is>
          <t>9月1-3日累计流量</t>
        </is>
      </c>
      <c r="D3" s="2" t="inlineStr">
        <is>
          <t>8月1-3日累计流量</t>
        </is>
      </c>
      <c r="E3" s="1" t="inlineStr">
        <is>
          <t>较上月环比增幅</t>
        </is>
      </c>
      <c r="G3" s="1" t="inlineStr">
        <is>
          <t>地市</t>
        </is>
      </c>
      <c r="H3" s="3" t="inlineStr">
        <is>
          <t>08月28日</t>
        </is>
      </c>
      <c r="I3" s="3" t="inlineStr">
        <is>
          <t>08月29日</t>
        </is>
      </c>
      <c r="J3" s="3" t="inlineStr">
        <is>
          <t>08月30日</t>
        </is>
      </c>
      <c r="K3" s="3" t="inlineStr">
        <is>
          <t>08月31日</t>
        </is>
      </c>
      <c r="L3" s="3" t="inlineStr">
        <is>
          <t>09月01日</t>
        </is>
      </c>
      <c r="M3" s="3" t="inlineStr">
        <is>
          <t>09月02日</t>
        </is>
      </c>
      <c r="N3" s="3" t="inlineStr">
        <is>
          <t>09月03日</t>
        </is>
      </c>
    </row>
    <row r="4" ht="20" customHeight="1" s="38">
      <c r="B4" s="4" t="inlineStr">
        <is>
          <t>苏州</t>
        </is>
      </c>
      <c r="C4" s="48" t="n">
        <v>2180</v>
      </c>
      <c r="D4" s="49" t="n">
        <v>2302.45</v>
      </c>
      <c r="E4" s="7" t="inlineStr">
        <is>
          <t>-5.32%</t>
        </is>
      </c>
      <c r="G4" s="4" t="inlineStr">
        <is>
          <t>苏州</t>
        </is>
      </c>
      <c r="H4" s="48" t="n">
        <v>726.28</v>
      </c>
      <c r="I4" s="48" t="n">
        <v>731.29</v>
      </c>
      <c r="J4" s="49" t="n">
        <v>761.24</v>
      </c>
      <c r="K4" s="49" t="n">
        <v>726.6</v>
      </c>
      <c r="L4" s="49" t="n">
        <v>726.36</v>
      </c>
      <c r="M4" s="49" t="n">
        <v>729.52</v>
      </c>
      <c r="N4" s="49" t="n">
        <v>724.12</v>
      </c>
    </row>
    <row r="5" ht="17.5" customHeight="1" s="38">
      <c r="B5" s="4" t="inlineStr">
        <is>
          <t>南京</t>
        </is>
      </c>
      <c r="C5" s="48" t="n">
        <v>762.8200000000001</v>
      </c>
      <c r="D5" s="49" t="n">
        <v>752.08</v>
      </c>
      <c r="E5" s="7" t="inlineStr">
        <is>
          <t>1.43%</t>
        </is>
      </c>
      <c r="G5" s="4" t="inlineStr">
        <is>
          <t>南京</t>
        </is>
      </c>
      <c r="H5" s="48" t="n">
        <v>252.5</v>
      </c>
      <c r="I5" s="48" t="n">
        <v>252.19</v>
      </c>
      <c r="J5" s="49" t="n">
        <v>253.38</v>
      </c>
      <c r="K5" s="49" t="n">
        <v>254.93</v>
      </c>
      <c r="L5" s="49" t="n">
        <v>253.98</v>
      </c>
      <c r="M5" s="49" t="n">
        <v>254.5</v>
      </c>
      <c r="N5" s="49" t="n">
        <v>254.34</v>
      </c>
    </row>
    <row r="6" ht="17.5" customHeight="1" s="38">
      <c r="B6" s="4" t="inlineStr">
        <is>
          <t>无锡</t>
        </is>
      </c>
      <c r="C6" s="48" t="n">
        <v>972.6</v>
      </c>
      <c r="D6" s="49" t="n">
        <v>981.4400000000001</v>
      </c>
      <c r="E6" s="7" t="inlineStr">
        <is>
          <t>-0.9%</t>
        </is>
      </c>
      <c r="G6" s="4" t="inlineStr">
        <is>
          <t>无锡</t>
        </is>
      </c>
      <c r="H6" s="48" t="n">
        <v>324.2</v>
      </c>
      <c r="I6" s="48" t="n">
        <v>321.41</v>
      </c>
      <c r="J6" s="49" t="n">
        <v>324.4</v>
      </c>
      <c r="K6" s="49" t="n">
        <v>320.82</v>
      </c>
      <c r="L6" s="49" t="n">
        <v>323.72</v>
      </c>
      <c r="M6" s="49" t="n">
        <v>325.11</v>
      </c>
      <c r="N6" s="49" t="n">
        <v>323.77</v>
      </c>
    </row>
    <row r="7" ht="17.5" customHeight="1" s="38">
      <c r="B7" s="4" t="inlineStr">
        <is>
          <t>南通</t>
        </is>
      </c>
      <c r="C7" s="48" t="n">
        <v>774.45</v>
      </c>
      <c r="D7" s="49" t="n">
        <v>761.98</v>
      </c>
      <c r="E7" s="7" t="inlineStr">
        <is>
          <t>1.64%</t>
        </is>
      </c>
      <c r="G7" s="4" t="inlineStr">
        <is>
          <t>南通</t>
        </is>
      </c>
      <c r="H7" s="48" t="n">
        <v>259.14</v>
      </c>
      <c r="I7" s="48" t="n">
        <v>257.47</v>
      </c>
      <c r="J7" s="49" t="n">
        <v>258.32</v>
      </c>
      <c r="K7" s="49" t="n">
        <v>255.91</v>
      </c>
      <c r="L7" s="49" t="n">
        <v>258.39</v>
      </c>
      <c r="M7" s="49" t="n">
        <v>258.81</v>
      </c>
      <c r="N7" s="49" t="n">
        <v>257.26</v>
      </c>
    </row>
    <row r="8" ht="17.5" customHeight="1" s="38">
      <c r="B8" s="4" t="inlineStr">
        <is>
          <t>徐州</t>
        </is>
      </c>
      <c r="C8" s="48" t="n">
        <v>608.83</v>
      </c>
      <c r="D8" s="49" t="n">
        <v>644.84</v>
      </c>
      <c r="E8" s="7" t="inlineStr">
        <is>
          <t>-5.58%</t>
        </is>
      </c>
      <c r="G8" s="4" t="inlineStr">
        <is>
          <t>徐州</t>
        </is>
      </c>
      <c r="H8" s="48" t="n">
        <v>222.12</v>
      </c>
      <c r="I8" s="48" t="n">
        <v>219.27</v>
      </c>
      <c r="J8" s="49" t="n">
        <v>214.85</v>
      </c>
      <c r="K8" s="49" t="n">
        <v>204.26</v>
      </c>
      <c r="L8" s="49" t="n">
        <v>201.93</v>
      </c>
      <c r="M8" s="49" t="n">
        <v>202.53</v>
      </c>
      <c r="N8" s="49" t="n">
        <v>204.37</v>
      </c>
    </row>
    <row r="9" ht="17.5" customHeight="1" s="38">
      <c r="B9" s="4" t="inlineStr">
        <is>
          <t>常州</t>
        </is>
      </c>
      <c r="C9" s="48" t="n">
        <v>343.08</v>
      </c>
      <c r="D9" s="49" t="n">
        <v>361.37</v>
      </c>
      <c r="E9" s="7" t="inlineStr">
        <is>
          <t>-5.06%</t>
        </is>
      </c>
      <c r="G9" s="4" t="inlineStr">
        <is>
          <t>常州</t>
        </is>
      </c>
      <c r="H9" s="48" t="n">
        <v>116.23</v>
      </c>
      <c r="I9" s="48" t="n">
        <v>116.21</v>
      </c>
      <c r="J9" s="49" t="n">
        <v>116.89</v>
      </c>
      <c r="K9" s="49" t="n">
        <v>114.37</v>
      </c>
      <c r="L9" s="49" t="n">
        <v>114.47</v>
      </c>
      <c r="M9" s="49" t="n">
        <v>114.74</v>
      </c>
      <c r="N9" s="49" t="n">
        <v>113.87</v>
      </c>
    </row>
    <row r="10" ht="17.5" customHeight="1" s="38">
      <c r="B10" s="4" t="inlineStr">
        <is>
          <t>盐城</t>
        </is>
      </c>
      <c r="C10" s="48" t="n">
        <v>387.21</v>
      </c>
      <c r="D10" s="49" t="n">
        <v>388.97</v>
      </c>
      <c r="E10" s="7" t="inlineStr">
        <is>
          <t>-0.45%</t>
        </is>
      </c>
      <c r="G10" s="4" t="inlineStr">
        <is>
          <t>盐城</t>
        </is>
      </c>
      <c r="H10" s="48" t="n">
        <v>134.99</v>
      </c>
      <c r="I10" s="48" t="n">
        <v>133.4</v>
      </c>
      <c r="J10" s="49" t="n">
        <v>134.47</v>
      </c>
      <c r="K10" s="49" t="n">
        <v>134.99</v>
      </c>
      <c r="L10" s="49" t="n">
        <v>125.63</v>
      </c>
      <c r="M10" s="49" t="n">
        <v>130.37</v>
      </c>
      <c r="N10" s="49" t="n">
        <v>131.21</v>
      </c>
    </row>
    <row r="11" ht="17.5" customHeight="1" s="38">
      <c r="B11" s="4" t="inlineStr">
        <is>
          <t>宿迁</t>
        </is>
      </c>
      <c r="C11" s="48" t="n">
        <v>368.05</v>
      </c>
      <c r="D11" s="49" t="n">
        <v>369.95</v>
      </c>
      <c r="E11" s="7" t="inlineStr">
        <is>
          <t>-0.51%</t>
        </is>
      </c>
      <c r="G11" s="4" t="inlineStr">
        <is>
          <t>宿迁</t>
        </is>
      </c>
      <c r="H11" s="48" t="n">
        <v>127.93</v>
      </c>
      <c r="I11" s="48" t="n">
        <v>126.24</v>
      </c>
      <c r="J11" s="49" t="n">
        <v>123.16</v>
      </c>
      <c r="K11" s="49" t="n">
        <v>119.69</v>
      </c>
      <c r="L11" s="49" t="n">
        <v>120.54</v>
      </c>
      <c r="M11" s="49" t="n">
        <v>123.44</v>
      </c>
      <c r="N11" s="49" t="n">
        <v>124.07</v>
      </c>
    </row>
    <row r="12" ht="17.5" customHeight="1" s="38">
      <c r="B12" s="4" t="inlineStr">
        <is>
          <t>泰州</t>
        </is>
      </c>
      <c r="C12" s="48" t="n">
        <v>293.75</v>
      </c>
      <c r="D12" s="49" t="n">
        <v>291.9</v>
      </c>
      <c r="E12" s="7" t="inlineStr">
        <is>
          <t>0.63%</t>
        </is>
      </c>
      <c r="G12" s="4" t="inlineStr">
        <is>
          <t>泰州</t>
        </is>
      </c>
      <c r="H12" s="48" t="n">
        <v>98.77</v>
      </c>
      <c r="I12" s="48" t="n">
        <v>98.09999999999999</v>
      </c>
      <c r="J12" s="49" t="n">
        <v>99.39</v>
      </c>
      <c r="K12" s="49" t="n">
        <v>99.18000000000001</v>
      </c>
      <c r="L12" s="49" t="n">
        <v>98.52</v>
      </c>
      <c r="M12" s="49" t="n">
        <v>97.58</v>
      </c>
      <c r="N12" s="49" t="n">
        <v>97.64</v>
      </c>
    </row>
    <row r="13" ht="17.5" customHeight="1" s="38">
      <c r="B13" s="4" t="inlineStr">
        <is>
          <t>扬州</t>
        </is>
      </c>
      <c r="C13" s="48" t="n">
        <v>321.7</v>
      </c>
      <c r="D13" s="49" t="n">
        <v>288.02</v>
      </c>
      <c r="E13" s="7" t="inlineStr">
        <is>
          <t>11.69%</t>
        </is>
      </c>
      <c r="G13" s="4" t="inlineStr">
        <is>
          <t>扬州</t>
        </is>
      </c>
      <c r="H13" s="48" t="n">
        <v>100.29</v>
      </c>
      <c r="I13" s="48" t="n">
        <v>100.44</v>
      </c>
      <c r="J13" s="49" t="n">
        <v>101.75</v>
      </c>
      <c r="K13" s="49" t="n">
        <v>105.4</v>
      </c>
      <c r="L13" s="49" t="n">
        <v>107.06</v>
      </c>
      <c r="M13" s="49" t="n">
        <v>107.33</v>
      </c>
      <c r="N13" s="49" t="n">
        <v>107.3</v>
      </c>
    </row>
    <row r="14" ht="17.5" customHeight="1" s="38">
      <c r="B14" s="4" t="inlineStr">
        <is>
          <t>连云港</t>
        </is>
      </c>
      <c r="C14" s="48" t="n">
        <v>312.83</v>
      </c>
      <c r="D14" s="49" t="n">
        <v>336.79</v>
      </c>
      <c r="E14" s="7" t="inlineStr">
        <is>
          <t>-7.11%</t>
        </is>
      </c>
      <c r="G14" s="4" t="inlineStr">
        <is>
          <t>连云港</t>
        </is>
      </c>
      <c r="H14" s="48" t="n">
        <v>109.27</v>
      </c>
      <c r="I14" s="48" t="n">
        <v>107</v>
      </c>
      <c r="J14" s="49" t="n">
        <v>105.11</v>
      </c>
      <c r="K14" s="49" t="n">
        <v>104.78</v>
      </c>
      <c r="L14" s="49" t="n">
        <v>103.31</v>
      </c>
      <c r="M14" s="49" t="n">
        <v>104.39</v>
      </c>
      <c r="N14" s="49" t="n">
        <v>105.13</v>
      </c>
    </row>
    <row r="15" ht="17.5" customHeight="1" s="38">
      <c r="B15" s="4" t="inlineStr">
        <is>
          <t>淮安</t>
        </is>
      </c>
      <c r="C15" s="48" t="n">
        <v>318.96</v>
      </c>
      <c r="D15" s="49" t="n">
        <v>303.55</v>
      </c>
      <c r="E15" s="7" t="inlineStr">
        <is>
          <t>5.08%</t>
        </is>
      </c>
      <c r="G15" s="4" t="inlineStr">
        <is>
          <t>淮安</t>
        </is>
      </c>
      <c r="H15" s="48" t="n">
        <v>110.14</v>
      </c>
      <c r="I15" s="48" t="n">
        <v>108.43</v>
      </c>
      <c r="J15" s="49" t="n">
        <v>105.84</v>
      </c>
      <c r="K15" s="49" t="n">
        <v>106.13</v>
      </c>
      <c r="L15" s="49" t="n">
        <v>106.07</v>
      </c>
      <c r="M15" s="49" t="n">
        <v>106.65</v>
      </c>
      <c r="N15" s="49" t="n">
        <v>106.24</v>
      </c>
    </row>
    <row r="16" ht="17.5" customHeight="1" s="38">
      <c r="B16" s="4" t="inlineStr">
        <is>
          <t>镇江</t>
        </is>
      </c>
      <c r="C16" s="48" t="n">
        <v>274.4</v>
      </c>
      <c r="D16" s="49" t="n">
        <v>272.71</v>
      </c>
      <c r="E16" s="7" t="inlineStr">
        <is>
          <t>0.62%</t>
        </is>
      </c>
      <c r="G16" s="4" t="inlineStr">
        <is>
          <t>镇江</t>
        </is>
      </c>
      <c r="H16" s="48" t="n">
        <v>90.59999999999999</v>
      </c>
      <c r="I16" s="48" t="n">
        <v>89.34999999999999</v>
      </c>
      <c r="J16" s="49" t="n">
        <v>90.7</v>
      </c>
      <c r="K16" s="49" t="n">
        <v>89.39</v>
      </c>
      <c r="L16" s="49" t="n">
        <v>91.64</v>
      </c>
      <c r="M16" s="49" t="n">
        <v>91.81</v>
      </c>
      <c r="N16" s="49" t="n">
        <v>90.95</v>
      </c>
    </row>
    <row r="17" ht="17.5" customHeight="1" s="38">
      <c r="B17" s="4" t="inlineStr">
        <is>
          <t>全省</t>
        </is>
      </c>
      <c r="C17" s="48" t="n">
        <v>7918.68</v>
      </c>
      <c r="D17" s="49" t="n">
        <v>8056.05</v>
      </c>
      <c r="E17" s="7" t="inlineStr">
        <is>
          <t>-1.71%</t>
        </is>
      </c>
      <c r="G17" s="4" t="inlineStr">
        <is>
          <t>全省</t>
        </is>
      </c>
      <c r="H17" s="48" t="n">
        <v>2672.46</v>
      </c>
      <c r="I17" s="48" t="n">
        <v>2660.8</v>
      </c>
      <c r="J17" s="49" t="n">
        <v>2689.5</v>
      </c>
      <c r="K17" s="49" t="n">
        <v>2636.45</v>
      </c>
      <c r="L17" s="49" t="n">
        <v>2631.62</v>
      </c>
      <c r="M17" s="49" t="n">
        <v>2646.78</v>
      </c>
      <c r="N17" s="49" t="n">
        <v>2640.27</v>
      </c>
    </row>
  </sheetData>
  <mergeCells count="2">
    <mergeCell ref="G2:N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wanghui</dc:creator>
  <dcterms:created xsi:type="dcterms:W3CDTF">2024-12-05T14:11:00Z</dcterms:created>
  <dcterms:modified xsi:type="dcterms:W3CDTF">2026-09-04T06:00:03Z</dcterms:modified>
  <cp:lastModifiedBy>邓斌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A89B3E1E46DB43C7BB676C76A7BFB9B9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