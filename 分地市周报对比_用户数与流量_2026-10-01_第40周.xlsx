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  <sheet name="基准线数据" sheetId="3" state="hidden" r:id="rId3"/>
    <sheet name="期末总用户数" sheetId="4" r:id="rId4"/>
  </sheets>
  <calcPr calcId="124519" fullCalcOnLoad="1"/>
</workbook>
</file>

<file path=xl/sharedStrings.xml><?xml version="1.0" encoding="utf-8"?>
<sst xmlns="http://schemas.openxmlformats.org/spreadsheetml/2006/main" count="53" uniqueCount="36">
  <si>
    <t>分地市周日均用户数明细（单位：万；增量/增幅为本周相对上周，占比为该地市占全省比例）</t>
  </si>
  <si>
    <t>地市</t>
  </si>
  <si>
    <t>上周(万)</t>
  </si>
  <si>
    <t>本周(万)</t>
  </si>
  <si>
    <t>增量(万)</t>
  </si>
  <si>
    <t>增幅</t>
  </si>
  <si>
    <t>占比(本周)</t>
  </si>
  <si>
    <t>南京</t>
  </si>
  <si>
    <t>苏州</t>
  </si>
  <si>
    <t>无锡</t>
  </si>
  <si>
    <t>常州</t>
  </si>
  <si>
    <t>镇江</t>
  </si>
  <si>
    <t>南通</t>
  </si>
  <si>
    <t>扬州</t>
  </si>
  <si>
    <t>泰州</t>
  </si>
  <si>
    <t>盐城</t>
  </si>
  <si>
    <t>淮安</t>
  </si>
  <si>
    <t>宿迁</t>
  </si>
  <si>
    <t>徐州</t>
  </si>
  <si>
    <t>连云港</t>
  </si>
  <si>
    <t>全省</t>
  </si>
  <si>
    <t>分地市日均流量明细（单位：T；增量/增幅为本周相对上周，占比为该地市占全省比例）；月均DOU(GB) = 本周日均流量 ÷ 本周日均用户数 × 当月天数（1T=1024GB）</t>
  </si>
  <si>
    <t>上周(T)</t>
  </si>
  <si>
    <t>本周(T)</t>
  </si>
  <si>
    <t>增量(T)</t>
  </si>
  <si>
    <t>月均DOU(GB)</t>
  </si>
  <si>
    <t>前后两周最后一天总用户数（单位：万）</t>
  </si>
  <si>
    <t>项目</t>
  </si>
  <si>
    <t>日期</t>
  </si>
  <si>
    <t>总用户数(万)</t>
  </si>
  <si>
    <t>上周最后一天</t>
  </si>
  <si>
    <t>09-24</t>
  </si>
  <si>
    <t>本周最后一天</t>
  </si>
  <si>
    <t>10-01</t>
  </si>
  <si>
    <t>增减额</t>
  </si>
  <si>
    <t>—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</si>
</sst>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+0.00&quot;%&quot;;-0.00&quot;%&quot;"/>
    <numFmt numFmtId="166" formatCode="0.00&quot;%&quot;"/>
    <numFmt numFmtId="167" formatCode="#,##0"/>
    <numFmt numFmtId="168" formatCode="#,##0.0"/>
    <numFmt numFmtId="169" formatCode="+#,##0.00;-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4" fontId="2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16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上周(09-18~24日均)</c:v>
          </c:tx>
          <c:spPr>
            <a:solidFill>
              <a:srgbClr val="9DB8D2"/>
            </a:solidFill>
          </c:spPr>
          <c:cat>
            <c:strRef>
              <c:f>周日均用户数!$A$22:$A$34</c:f>
              <c:strCache>
                <c:ptCount val="13"/>
                <c:pt idx="0">
                  <c:v>南京</c:v>
                </c:pt>
                <c:pt idx="1">
                  <c:v>苏州</c:v>
                </c:pt>
                <c:pt idx="2">
                  <c:v>无锡</c:v>
                </c:pt>
                <c:pt idx="3">
                  <c:v>常州</c:v>
                </c:pt>
                <c:pt idx="4">
                  <c:v>镇江</c:v>
                </c:pt>
                <c:pt idx="5">
                  <c:v>南通</c:v>
                </c:pt>
                <c:pt idx="6">
                  <c:v>扬州</c:v>
                </c:pt>
                <c:pt idx="7">
                  <c:v>泰州</c:v>
                </c:pt>
                <c:pt idx="8">
                  <c:v>盐城</c:v>
                </c:pt>
                <c:pt idx="9">
                  <c:v>淮安</c:v>
                </c:pt>
                <c:pt idx="10">
                  <c:v>宿迁</c:v>
                </c:pt>
                <c:pt idx="11">
                  <c:v>徐州</c:v>
                </c:pt>
                <c:pt idx="12">
                  <c:v>连云港</c:v>
                </c:pt>
              </c:strCache>
            </c:strRef>
          </c:cat>
          <c:val>
            <c:numRef>
              <c:f>周日均用户数!$B$22:$B$34</c:f>
              <c:numCache>
                <c:formatCode>General</c:formatCode>
                <c:ptCount val="13"/>
                <c:pt idx="0">
                  <c:v>18.89</c:v>
                </c:pt>
                <c:pt idx="1">
                  <c:v>46.04</c:v>
                </c:pt>
                <c:pt idx="2">
                  <c:v>20.22</c:v>
                </c:pt>
                <c:pt idx="3">
                  <c:v>11.26</c:v>
                </c:pt>
                <c:pt idx="4">
                  <c:v>6.43</c:v>
                </c:pt>
                <c:pt idx="5">
                  <c:v>20.38</c:v>
                </c:pt>
                <c:pt idx="6">
                  <c:v>7.36</c:v>
                </c:pt>
                <c:pt idx="7">
                  <c:v>7.97</c:v>
                </c:pt>
                <c:pt idx="8">
                  <c:v>13.48</c:v>
                </c:pt>
                <c:pt idx="9">
                  <c:v>11.73</c:v>
                </c:pt>
                <c:pt idx="10">
                  <c:v>9.880000000000001</c:v>
                </c:pt>
                <c:pt idx="11">
                  <c:v>17.36</c:v>
                </c:pt>
                <c:pt idx="12">
                  <c:v>9.41</c:v>
                </c:pt>
              </c:numCache>
            </c:numRef>
          </c:val>
        </c:ser>
        <c:ser>
          <c:idx val="1"/>
          <c:order val="1"/>
          <c:tx>
            <c:v>本周(09-25~10-01日均)</c:v>
          </c:tx>
          <c:spPr>
            <a:solidFill>
              <a:srgbClr val="4E79A7"/>
            </a:solidFill>
          </c:spPr>
          <c:dLbls>
            <c:numFmt formatCode="#,##0.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周日均用户数!$A$22:$A$34</c:f>
              <c:strCache>
                <c:ptCount val="13"/>
                <c:pt idx="0">
                  <c:v>南京</c:v>
                </c:pt>
                <c:pt idx="1">
                  <c:v>苏州</c:v>
                </c:pt>
                <c:pt idx="2">
                  <c:v>无锡</c:v>
                </c:pt>
                <c:pt idx="3">
                  <c:v>常州</c:v>
                </c:pt>
                <c:pt idx="4">
                  <c:v>镇江</c:v>
                </c:pt>
                <c:pt idx="5">
                  <c:v>南通</c:v>
                </c:pt>
                <c:pt idx="6">
                  <c:v>扬州</c:v>
                </c:pt>
                <c:pt idx="7">
                  <c:v>泰州</c:v>
                </c:pt>
                <c:pt idx="8">
                  <c:v>盐城</c:v>
                </c:pt>
                <c:pt idx="9">
                  <c:v>淮安</c:v>
                </c:pt>
                <c:pt idx="10">
                  <c:v>宿迁</c:v>
                </c:pt>
                <c:pt idx="11">
                  <c:v>徐州</c:v>
                </c:pt>
                <c:pt idx="12">
                  <c:v>连云港</c:v>
                </c:pt>
              </c:strCache>
            </c:strRef>
          </c:cat>
          <c:val>
            <c:numRef>
              <c:f>周日均用户数!$C$22:$C$34</c:f>
              <c:numCache>
                <c:formatCode>General</c:formatCode>
                <c:ptCount val="13"/>
                <c:pt idx="0">
                  <c:v>17.78</c:v>
                </c:pt>
                <c:pt idx="1">
                  <c:v>44.06</c:v>
                </c:pt>
                <c:pt idx="2">
                  <c:v>19.64</c:v>
                </c:pt>
                <c:pt idx="3">
                  <c:v>10.96</c:v>
                </c:pt>
                <c:pt idx="4">
                  <c:v>6.35</c:v>
                </c:pt>
                <c:pt idx="5">
                  <c:v>20.4</c:v>
                </c:pt>
                <c:pt idx="6">
                  <c:v>7.37</c:v>
                </c:pt>
                <c:pt idx="7">
                  <c:v>8.130000000000001</c:v>
                </c:pt>
                <c:pt idx="8">
                  <c:v>14.06</c:v>
                </c:pt>
                <c:pt idx="9">
                  <c:v>12.31</c:v>
                </c:pt>
                <c:pt idx="10">
                  <c:v>10.57</c:v>
                </c:pt>
                <c:pt idx="11">
                  <c:v>18.62</c:v>
                </c:pt>
                <c:pt idx="12">
                  <c:v>10.12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周日均用户数!$A$22:$A$34</c:f>
              <c:strCache>
                <c:ptCount val="13"/>
                <c:pt idx="0">
                  <c:v>南京</c:v>
                </c:pt>
                <c:pt idx="1">
                  <c:v>苏州</c:v>
                </c:pt>
                <c:pt idx="2">
                  <c:v>无锡</c:v>
                </c:pt>
                <c:pt idx="3">
                  <c:v>常州</c:v>
                </c:pt>
                <c:pt idx="4">
                  <c:v>镇江</c:v>
                </c:pt>
                <c:pt idx="5">
                  <c:v>南通</c:v>
                </c:pt>
                <c:pt idx="6">
                  <c:v>扬州</c:v>
                </c:pt>
                <c:pt idx="7">
                  <c:v>泰州</c:v>
                </c:pt>
                <c:pt idx="8">
                  <c:v>盐城</c:v>
                </c:pt>
                <c:pt idx="9">
                  <c:v>淮安</c:v>
                </c:pt>
                <c:pt idx="10">
                  <c:v>宿迁</c:v>
                </c:pt>
                <c:pt idx="11">
                  <c:v>徐州</c:v>
                </c:pt>
                <c:pt idx="12">
                  <c:v>连云港</c:v>
                </c:pt>
              </c:strCache>
            </c:strRef>
          </c:cat>
          <c:val>
            <c:numRef>
              <c:f>'基准线数据'!$B$1:$B$13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周日均用户数!$A$22:$A$34</c:f>
              <c:strCache>
                <c:ptCount val="13"/>
                <c:pt idx="0">
                  <c:v>南京</c:v>
                </c:pt>
                <c:pt idx="1">
                  <c:v>苏州</c:v>
                </c:pt>
                <c:pt idx="2">
                  <c:v>无锡</c:v>
                </c:pt>
                <c:pt idx="3">
                  <c:v>常州</c:v>
                </c:pt>
                <c:pt idx="4">
                  <c:v>镇江</c:v>
                </c:pt>
                <c:pt idx="5">
                  <c:v>南通</c:v>
                </c:pt>
                <c:pt idx="6">
                  <c:v>扬州</c:v>
                </c:pt>
                <c:pt idx="7">
                  <c:v>泰州</c:v>
                </c:pt>
                <c:pt idx="8">
                  <c:v>盐城</c:v>
                </c:pt>
                <c:pt idx="9">
                  <c:v>淮安</c:v>
                </c:pt>
                <c:pt idx="10">
                  <c:v>宿迁</c:v>
                </c:pt>
                <c:pt idx="11">
                  <c:v>徐州</c:v>
                </c:pt>
                <c:pt idx="12">
                  <c:v>连云港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5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  <c:max val="16.2"/>
          <c:min val="-42.1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上周(09-18~24日均)</c:v>
          </c:tx>
          <c:spPr>
            <a:solidFill>
              <a:srgbClr val="9DB8D2"/>
            </a:solidFill>
          </c:spPr>
          <c:cat>
            <c:strRef>
              <c:f>日均流量!$A$22:$A$34</c:f>
              <c:strCache>
                <c:ptCount val="13"/>
                <c:pt idx="0">
                  <c:v>扬州</c:v>
                </c:pt>
                <c:pt idx="1">
                  <c:v>常州</c:v>
                </c:pt>
                <c:pt idx="2">
                  <c:v>镇江</c:v>
                </c:pt>
                <c:pt idx="3">
                  <c:v>无锡</c:v>
                </c:pt>
                <c:pt idx="4">
                  <c:v>南京</c:v>
                </c:pt>
                <c:pt idx="5">
                  <c:v>南通</c:v>
                </c:pt>
                <c:pt idx="6">
                  <c:v>苏州</c:v>
                </c:pt>
                <c:pt idx="7">
                  <c:v>宿迁</c:v>
                </c:pt>
                <c:pt idx="8">
                  <c:v>盐城</c:v>
                </c:pt>
                <c:pt idx="9">
                  <c:v>泰州</c:v>
                </c:pt>
                <c:pt idx="10">
                  <c:v>连云港</c:v>
                </c:pt>
                <c:pt idx="11">
                  <c:v>徐州</c:v>
                </c:pt>
                <c:pt idx="12">
                  <c:v>淮安</c:v>
                </c:pt>
              </c:strCache>
            </c:strRef>
          </c:cat>
          <c:val>
            <c:numRef>
              <c:f>日均流量!$B$22:$B$34</c:f>
              <c:numCache>
                <c:formatCode>General</c:formatCode>
                <c:ptCount val="13"/>
                <c:pt idx="0">
                  <c:v>114</c:v>
                </c:pt>
                <c:pt idx="1">
                  <c:v>119</c:v>
                </c:pt>
                <c:pt idx="2">
                  <c:v>95</c:v>
                </c:pt>
                <c:pt idx="3">
                  <c:v>333</c:v>
                </c:pt>
                <c:pt idx="4">
                  <c:v>262</c:v>
                </c:pt>
                <c:pt idx="5">
                  <c:v>266</c:v>
                </c:pt>
                <c:pt idx="6">
                  <c:v>734</c:v>
                </c:pt>
                <c:pt idx="7">
                  <c:v>128</c:v>
                </c:pt>
                <c:pt idx="8">
                  <c:v>135</c:v>
                </c:pt>
                <c:pt idx="9">
                  <c:v>102</c:v>
                </c:pt>
                <c:pt idx="10">
                  <c:v>106</c:v>
                </c:pt>
                <c:pt idx="11">
                  <c:v>216</c:v>
                </c:pt>
                <c:pt idx="12">
                  <c:v>109</c:v>
                </c:pt>
              </c:numCache>
            </c:numRef>
          </c:val>
        </c:ser>
        <c:ser>
          <c:idx val="1"/>
          <c:order val="1"/>
          <c:tx>
            <c:v>本周(09-25~10-01日均)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日均流量!$A$22:$A$34</c:f>
              <c:strCache>
                <c:ptCount val="13"/>
                <c:pt idx="0">
                  <c:v>扬州</c:v>
                </c:pt>
                <c:pt idx="1">
                  <c:v>常州</c:v>
                </c:pt>
                <c:pt idx="2">
                  <c:v>镇江</c:v>
                </c:pt>
                <c:pt idx="3">
                  <c:v>无锡</c:v>
                </c:pt>
                <c:pt idx="4">
                  <c:v>南京</c:v>
                </c:pt>
                <c:pt idx="5">
                  <c:v>南通</c:v>
                </c:pt>
                <c:pt idx="6">
                  <c:v>苏州</c:v>
                </c:pt>
                <c:pt idx="7">
                  <c:v>宿迁</c:v>
                </c:pt>
                <c:pt idx="8">
                  <c:v>盐城</c:v>
                </c:pt>
                <c:pt idx="9">
                  <c:v>泰州</c:v>
                </c:pt>
                <c:pt idx="10">
                  <c:v>连云港</c:v>
                </c:pt>
                <c:pt idx="11">
                  <c:v>徐州</c:v>
                </c:pt>
                <c:pt idx="12">
                  <c:v>淮安</c:v>
                </c:pt>
              </c:strCache>
            </c:strRef>
          </c:cat>
          <c:val>
            <c:numRef>
              <c:f>日均流量!$C$22:$C$34</c:f>
              <c:numCache>
                <c:formatCode>General</c:formatCode>
                <c:ptCount val="13"/>
                <c:pt idx="0">
                  <c:v>107</c:v>
                </c:pt>
                <c:pt idx="1">
                  <c:v>115</c:v>
                </c:pt>
                <c:pt idx="2">
                  <c:v>93</c:v>
                </c:pt>
                <c:pt idx="3">
                  <c:v>325</c:v>
                </c:pt>
                <c:pt idx="4">
                  <c:v>256</c:v>
                </c:pt>
                <c:pt idx="5">
                  <c:v>262</c:v>
                </c:pt>
                <c:pt idx="6">
                  <c:v>729</c:v>
                </c:pt>
                <c:pt idx="7">
                  <c:v>128</c:v>
                </c:pt>
                <c:pt idx="8">
                  <c:v>135</c:v>
                </c:pt>
                <c:pt idx="9">
                  <c:v>103</c:v>
                </c:pt>
                <c:pt idx="10">
                  <c:v>108</c:v>
                </c:pt>
                <c:pt idx="11">
                  <c:v>219</c:v>
                </c:pt>
                <c:pt idx="12">
                  <c:v>112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日均流量!$A$22:$A$34</c:f>
              <c:strCache>
                <c:ptCount val="13"/>
                <c:pt idx="0">
                  <c:v>扬州</c:v>
                </c:pt>
                <c:pt idx="1">
                  <c:v>常州</c:v>
                </c:pt>
                <c:pt idx="2">
                  <c:v>镇江</c:v>
                </c:pt>
                <c:pt idx="3">
                  <c:v>无锡</c:v>
                </c:pt>
                <c:pt idx="4">
                  <c:v>南京</c:v>
                </c:pt>
                <c:pt idx="5">
                  <c:v>南通</c:v>
                </c:pt>
                <c:pt idx="6">
                  <c:v>苏州</c:v>
                </c:pt>
                <c:pt idx="7">
                  <c:v>宿迁</c:v>
                </c:pt>
                <c:pt idx="8">
                  <c:v>盐城</c:v>
                </c:pt>
                <c:pt idx="9">
                  <c:v>泰州</c:v>
                </c:pt>
                <c:pt idx="10">
                  <c:v>连云港</c:v>
                </c:pt>
                <c:pt idx="11">
                  <c:v>徐州</c:v>
                </c:pt>
                <c:pt idx="12">
                  <c:v>淮安</c:v>
                </c:pt>
              </c:strCache>
            </c:strRef>
          </c:cat>
          <c:val>
            <c:numRef>
              <c:f>'基准线数据'!$C$1:$C$13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日均流量!$A$22:$A$34</c:f>
              <c:strCache>
                <c:ptCount val="13"/>
                <c:pt idx="0">
                  <c:v>扬州</c:v>
                </c:pt>
                <c:pt idx="1">
                  <c:v>常州</c:v>
                </c:pt>
                <c:pt idx="2">
                  <c:v>镇江</c:v>
                </c:pt>
                <c:pt idx="3">
                  <c:v>无锡</c:v>
                </c:pt>
                <c:pt idx="4">
                  <c:v>南京</c:v>
                </c:pt>
                <c:pt idx="5">
                  <c:v>南通</c:v>
                </c:pt>
                <c:pt idx="6">
                  <c:v>苏州</c:v>
                </c:pt>
                <c:pt idx="7">
                  <c:v>宿迁</c:v>
                </c:pt>
                <c:pt idx="8">
                  <c:v>盐城</c:v>
                </c:pt>
                <c:pt idx="9">
                  <c:v>泰州</c:v>
                </c:pt>
                <c:pt idx="10">
                  <c:v>连云港</c:v>
                </c:pt>
                <c:pt idx="11">
                  <c:v>徐州</c:v>
                </c:pt>
                <c:pt idx="12">
                  <c:v>淮安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28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8.5"/>
          <c:min val="-30.6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0:F3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20" spans="1:6">
      <c r="A20" s="1" t="s">
        <v>0</v>
      </c>
    </row>
    <row r="21" spans="1:6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>
      <c r="A22" s="3" t="s">
        <v>7</v>
      </c>
      <c r="B22" s="4">
        <v>18.89</v>
      </c>
      <c r="C22" s="4">
        <v>17.78</v>
      </c>
      <c r="D22" s="4">
        <v>-1.11</v>
      </c>
      <c r="E22" s="5">
        <v>-5.9</v>
      </c>
      <c r="F22" s="6">
        <v>8.869999999999999</v>
      </c>
    </row>
    <row r="23" spans="1:6">
      <c r="A23" s="3" t="s">
        <v>8</v>
      </c>
      <c r="B23" s="4">
        <v>46.04</v>
      </c>
      <c r="C23" s="4">
        <v>44.06</v>
      </c>
      <c r="D23" s="4">
        <v>-1.98</v>
      </c>
      <c r="E23" s="5">
        <v>-4.31</v>
      </c>
      <c r="F23" s="6">
        <v>21.99</v>
      </c>
    </row>
    <row r="24" spans="1:6">
      <c r="A24" s="3" t="s">
        <v>9</v>
      </c>
      <c r="B24" s="4">
        <v>20.22</v>
      </c>
      <c r="C24" s="4">
        <v>19.64</v>
      </c>
      <c r="D24" s="4">
        <v>-0.58</v>
      </c>
      <c r="E24" s="5">
        <v>-2.88</v>
      </c>
      <c r="F24" s="6">
        <v>9.800000000000001</v>
      </c>
    </row>
    <row r="25" spans="1:6">
      <c r="A25" s="3" t="s">
        <v>10</v>
      </c>
      <c r="B25" s="4">
        <v>11.26</v>
      </c>
      <c r="C25" s="4">
        <v>10.96</v>
      </c>
      <c r="D25" s="4">
        <v>-0.31</v>
      </c>
      <c r="E25" s="5">
        <v>-2.74</v>
      </c>
      <c r="F25" s="6">
        <v>5.47</v>
      </c>
    </row>
    <row r="26" spans="1:6">
      <c r="A26" s="3" t="s">
        <v>11</v>
      </c>
      <c r="B26" s="4">
        <v>6.43</v>
      </c>
      <c r="C26" s="4">
        <v>6.35</v>
      </c>
      <c r="D26" s="4">
        <v>-0.08</v>
      </c>
      <c r="E26" s="5">
        <v>-1.23</v>
      </c>
      <c r="F26" s="6">
        <v>3.17</v>
      </c>
    </row>
    <row r="27" spans="1:6">
      <c r="A27" s="3" t="s">
        <v>12</v>
      </c>
      <c r="B27" s="4">
        <v>20.38</v>
      </c>
      <c r="C27" s="4">
        <v>20.4</v>
      </c>
      <c r="D27" s="4">
        <v>0.02</v>
      </c>
      <c r="E27" s="7">
        <v>0.09</v>
      </c>
      <c r="F27" s="6">
        <v>10.18</v>
      </c>
    </row>
    <row r="28" spans="1:6">
      <c r="A28" s="3" t="s">
        <v>13</v>
      </c>
      <c r="B28" s="4">
        <v>7.36</v>
      </c>
      <c r="C28" s="4">
        <v>7.37</v>
      </c>
      <c r="D28" s="4">
        <v>0.01</v>
      </c>
      <c r="E28" s="7">
        <v>0.16</v>
      </c>
      <c r="F28" s="6">
        <v>3.68</v>
      </c>
    </row>
    <row r="29" spans="1:6">
      <c r="A29" s="3" t="s">
        <v>14</v>
      </c>
      <c r="B29" s="4">
        <v>7.97</v>
      </c>
      <c r="C29" s="4">
        <v>8.130000000000001</v>
      </c>
      <c r="D29" s="4">
        <v>0.16</v>
      </c>
      <c r="E29" s="7">
        <v>2.02</v>
      </c>
      <c r="F29" s="6">
        <v>4.06</v>
      </c>
    </row>
    <row r="30" spans="1:6">
      <c r="A30" s="3" t="s">
        <v>15</v>
      </c>
      <c r="B30" s="4">
        <v>13.48</v>
      </c>
      <c r="C30" s="4">
        <v>14.06</v>
      </c>
      <c r="D30" s="4">
        <v>0.58</v>
      </c>
      <c r="E30" s="7">
        <v>4.28</v>
      </c>
      <c r="F30" s="6">
        <v>7.02</v>
      </c>
    </row>
    <row r="31" spans="1:6">
      <c r="A31" s="3" t="s">
        <v>16</v>
      </c>
      <c r="B31" s="4">
        <v>11.73</v>
      </c>
      <c r="C31" s="4">
        <v>12.31</v>
      </c>
      <c r="D31" s="4">
        <v>0.59</v>
      </c>
      <c r="E31" s="7">
        <v>5.02</v>
      </c>
      <c r="F31" s="6">
        <v>6.15</v>
      </c>
    </row>
    <row r="32" spans="1:6">
      <c r="A32" s="3" t="s">
        <v>17</v>
      </c>
      <c r="B32" s="4">
        <v>9.880000000000001</v>
      </c>
      <c r="C32" s="4">
        <v>10.57</v>
      </c>
      <c r="D32" s="4">
        <v>0.6899999999999999</v>
      </c>
      <c r="E32" s="7">
        <v>7</v>
      </c>
      <c r="F32" s="6">
        <v>5.27</v>
      </c>
    </row>
    <row r="33" spans="1:6">
      <c r="A33" s="3" t="s">
        <v>18</v>
      </c>
      <c r="B33" s="4">
        <v>17.36</v>
      </c>
      <c r="C33" s="4">
        <v>18.62</v>
      </c>
      <c r="D33" s="4">
        <v>1.26</v>
      </c>
      <c r="E33" s="7">
        <v>7.25</v>
      </c>
      <c r="F33" s="6">
        <v>9.289999999999999</v>
      </c>
    </row>
    <row r="34" spans="1:6">
      <c r="A34" s="3" t="s">
        <v>19</v>
      </c>
      <c r="B34" s="4">
        <v>9.41</v>
      </c>
      <c r="C34" s="4">
        <v>10.12</v>
      </c>
      <c r="D34" s="4">
        <v>0.71</v>
      </c>
      <c r="E34" s="7">
        <v>7.49</v>
      </c>
      <c r="F34" s="6">
        <v>5.05</v>
      </c>
    </row>
    <row r="35" spans="1:6">
      <c r="A35" s="2" t="s">
        <v>20</v>
      </c>
      <c r="B35" s="8">
        <v>200.42</v>
      </c>
      <c r="C35" s="8">
        <v>200.36</v>
      </c>
      <c r="D35" s="8">
        <v>-0.06</v>
      </c>
      <c r="E35" s="8">
        <v>-0.03</v>
      </c>
      <c r="F3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0:G3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  <col min="7" max="7" width="13.7109375" customWidth="1"/>
  </cols>
  <sheetData>
    <row r="20" spans="1:7">
      <c r="A20" s="1" t="s">
        <v>21</v>
      </c>
    </row>
    <row r="21" spans="1:7">
      <c r="A21" s="2" t="s">
        <v>1</v>
      </c>
      <c r="B21" s="2" t="s">
        <v>22</v>
      </c>
      <c r="C21" s="2" t="s">
        <v>23</v>
      </c>
      <c r="D21" s="2" t="s">
        <v>24</v>
      </c>
      <c r="E21" s="2" t="s">
        <v>5</v>
      </c>
      <c r="F21" s="2" t="s">
        <v>6</v>
      </c>
      <c r="G21" s="2" t="s">
        <v>25</v>
      </c>
    </row>
    <row r="22" spans="1:7">
      <c r="A22" s="3" t="s">
        <v>13</v>
      </c>
      <c r="B22" s="9">
        <v>114</v>
      </c>
      <c r="C22" s="9">
        <v>107</v>
      </c>
      <c r="D22" s="10">
        <v>-7.2</v>
      </c>
      <c r="E22" s="5">
        <v>-6.34</v>
      </c>
      <c r="F22" s="6">
        <v>3.97</v>
      </c>
      <c r="G22" s="4">
        <v>44.58</v>
      </c>
    </row>
    <row r="23" spans="1:7">
      <c r="A23" s="3" t="s">
        <v>10</v>
      </c>
      <c r="B23" s="9">
        <v>119</v>
      </c>
      <c r="C23" s="9">
        <v>115</v>
      </c>
      <c r="D23" s="10">
        <v>-4.2</v>
      </c>
      <c r="E23" s="5">
        <v>-3.52</v>
      </c>
      <c r="F23" s="6">
        <v>4.28</v>
      </c>
      <c r="G23" s="4">
        <v>32.31</v>
      </c>
    </row>
    <row r="24" spans="1:7">
      <c r="A24" s="3" t="s">
        <v>11</v>
      </c>
      <c r="B24" s="9">
        <v>95</v>
      </c>
      <c r="C24" s="9">
        <v>93</v>
      </c>
      <c r="D24" s="10">
        <v>-2.7</v>
      </c>
      <c r="E24" s="5">
        <v>-2.84</v>
      </c>
      <c r="F24" s="6">
        <v>3.44</v>
      </c>
      <c r="G24" s="4">
        <v>44.81</v>
      </c>
    </row>
    <row r="25" spans="1:7">
      <c r="A25" s="3" t="s">
        <v>9</v>
      </c>
      <c r="B25" s="9">
        <v>333</v>
      </c>
      <c r="C25" s="9">
        <v>325</v>
      </c>
      <c r="D25" s="10">
        <v>-8.300000000000001</v>
      </c>
      <c r="E25" s="5">
        <v>-2.5</v>
      </c>
      <c r="F25" s="6">
        <v>12.07</v>
      </c>
      <c r="G25" s="4">
        <v>50.85</v>
      </c>
    </row>
    <row r="26" spans="1:7">
      <c r="A26" s="3" t="s">
        <v>7</v>
      </c>
      <c r="B26" s="9">
        <v>262</v>
      </c>
      <c r="C26" s="9">
        <v>256</v>
      </c>
      <c r="D26" s="10">
        <v>-5.8</v>
      </c>
      <c r="E26" s="5">
        <v>-2.22</v>
      </c>
      <c r="F26" s="6">
        <v>9.49</v>
      </c>
      <c r="G26" s="4">
        <v>44.19</v>
      </c>
    </row>
    <row r="27" spans="1:7">
      <c r="A27" s="3" t="s">
        <v>12</v>
      </c>
      <c r="B27" s="9">
        <v>266</v>
      </c>
      <c r="C27" s="9">
        <v>262</v>
      </c>
      <c r="D27" s="10">
        <v>-3.5</v>
      </c>
      <c r="E27" s="5">
        <v>-1.33</v>
      </c>
      <c r="F27" s="6">
        <v>9.74</v>
      </c>
      <c r="G27" s="4">
        <v>39.5</v>
      </c>
    </row>
    <row r="28" spans="1:7">
      <c r="A28" s="3" t="s">
        <v>8</v>
      </c>
      <c r="B28" s="9">
        <v>734</v>
      </c>
      <c r="C28" s="9">
        <v>729</v>
      </c>
      <c r="D28" s="10">
        <v>-5.2</v>
      </c>
      <c r="E28" s="5">
        <v>-0.7</v>
      </c>
      <c r="F28" s="6">
        <v>27.07</v>
      </c>
      <c r="G28" s="4">
        <v>50.85</v>
      </c>
    </row>
    <row r="29" spans="1:7">
      <c r="A29" s="3" t="s">
        <v>17</v>
      </c>
      <c r="B29" s="9">
        <v>128</v>
      </c>
      <c r="C29" s="9">
        <v>128</v>
      </c>
      <c r="D29" s="10">
        <v>-0.1</v>
      </c>
      <c r="E29" s="5">
        <v>-0.08</v>
      </c>
      <c r="F29" s="6">
        <v>4.76</v>
      </c>
      <c r="G29" s="4">
        <v>37.24</v>
      </c>
    </row>
    <row r="30" spans="1:7">
      <c r="A30" s="3" t="s">
        <v>15</v>
      </c>
      <c r="B30" s="9">
        <v>135</v>
      </c>
      <c r="C30" s="9">
        <v>135</v>
      </c>
      <c r="D30" s="10">
        <v>0.7</v>
      </c>
      <c r="E30" s="7">
        <v>0.49</v>
      </c>
      <c r="F30" s="6">
        <v>5.03</v>
      </c>
      <c r="G30" s="4">
        <v>29.58</v>
      </c>
    </row>
    <row r="31" spans="1:7">
      <c r="A31" s="3" t="s">
        <v>14</v>
      </c>
      <c r="B31" s="9">
        <v>102</v>
      </c>
      <c r="C31" s="9">
        <v>103</v>
      </c>
      <c r="D31" s="10">
        <v>0.7</v>
      </c>
      <c r="E31" s="7">
        <v>0.68</v>
      </c>
      <c r="F31" s="6">
        <v>3.83</v>
      </c>
      <c r="G31" s="4">
        <v>38.94</v>
      </c>
    </row>
    <row r="32" spans="1:7">
      <c r="A32" s="3" t="s">
        <v>19</v>
      </c>
      <c r="B32" s="9">
        <v>106</v>
      </c>
      <c r="C32" s="9">
        <v>108</v>
      </c>
      <c r="D32" s="10">
        <v>1.7</v>
      </c>
      <c r="E32" s="7">
        <v>1.64</v>
      </c>
      <c r="F32" s="6">
        <v>4.01</v>
      </c>
      <c r="G32" s="4">
        <v>32.82</v>
      </c>
    </row>
    <row r="33" spans="1:7">
      <c r="A33" s="3" t="s">
        <v>18</v>
      </c>
      <c r="B33" s="9">
        <v>216</v>
      </c>
      <c r="C33" s="9">
        <v>219</v>
      </c>
      <c r="D33" s="10">
        <v>3.7</v>
      </c>
      <c r="E33" s="7">
        <v>1.71</v>
      </c>
      <c r="F33" s="6">
        <v>8.15</v>
      </c>
      <c r="G33" s="4">
        <v>36.22</v>
      </c>
    </row>
    <row r="34" spans="1:7">
      <c r="A34" s="3" t="s">
        <v>16</v>
      </c>
      <c r="B34" s="9">
        <v>109</v>
      </c>
      <c r="C34" s="9">
        <v>112</v>
      </c>
      <c r="D34" s="10">
        <v>2.9</v>
      </c>
      <c r="E34" s="7">
        <v>2.65</v>
      </c>
      <c r="F34" s="6">
        <v>4.17</v>
      </c>
      <c r="G34" s="4">
        <v>28.01</v>
      </c>
    </row>
    <row r="35" spans="1:7">
      <c r="A35" s="2" t="s">
        <v>20</v>
      </c>
      <c r="B35" s="11">
        <v>2721</v>
      </c>
      <c r="C35" s="11">
        <v>2694</v>
      </c>
      <c r="D35" s="12">
        <v>-27.4</v>
      </c>
      <c r="E35" s="8">
        <v>-1.01</v>
      </c>
      <c r="F35" s="8">
        <v>100</v>
      </c>
      <c r="G35" s="8">
        <v>41.3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>
        <v>0</v>
      </c>
      <c r="B1">
        <f>ROUND('周日均用户数'!E22,1)</f>
        <v>0</v>
      </c>
      <c r="C1">
        <f>ROUND('日均流量'!E22,1)</f>
        <v>0</v>
      </c>
    </row>
    <row r="2" spans="1:3">
      <c r="A2">
        <v>0</v>
      </c>
      <c r="B2">
        <f>ROUND('周日均用户数'!E23,1)</f>
        <v>0</v>
      </c>
      <c r="C2">
        <f>ROUND('日均流量'!E23,1)</f>
        <v>0</v>
      </c>
    </row>
    <row r="3" spans="1:3">
      <c r="A3">
        <v>0</v>
      </c>
      <c r="B3">
        <f>ROUND('周日均用户数'!E24,1)</f>
        <v>0</v>
      </c>
      <c r="C3">
        <f>ROUND('日均流量'!E24,1)</f>
        <v>0</v>
      </c>
    </row>
    <row r="4" spans="1:3">
      <c r="A4">
        <v>0</v>
      </c>
      <c r="B4">
        <f>ROUND('周日均用户数'!E25,1)</f>
        <v>0</v>
      </c>
      <c r="C4">
        <f>ROUND('日均流量'!E25,1)</f>
        <v>0</v>
      </c>
    </row>
    <row r="5" spans="1:3">
      <c r="A5">
        <v>0</v>
      </c>
      <c r="B5">
        <f>ROUND('周日均用户数'!E26,1)</f>
        <v>0</v>
      </c>
      <c r="C5">
        <f>ROUND('日均流量'!E26,1)</f>
        <v>0</v>
      </c>
    </row>
    <row r="6" spans="1:3">
      <c r="A6">
        <v>0</v>
      </c>
      <c r="B6">
        <f>ROUND('周日均用户数'!E27,1)</f>
        <v>0</v>
      </c>
      <c r="C6">
        <f>ROUND('日均流量'!E27,1)</f>
        <v>0</v>
      </c>
    </row>
    <row r="7" spans="1:3">
      <c r="A7">
        <v>0</v>
      </c>
      <c r="B7">
        <f>ROUND('周日均用户数'!E28,1)</f>
        <v>0</v>
      </c>
      <c r="C7">
        <f>ROUND('日均流量'!E28,1)</f>
        <v>0</v>
      </c>
    </row>
    <row r="8" spans="1:3">
      <c r="A8">
        <v>0</v>
      </c>
      <c r="B8">
        <f>ROUND('周日均用户数'!E29,1)</f>
        <v>0</v>
      </c>
      <c r="C8">
        <f>ROUND('日均流量'!E29,1)</f>
        <v>0</v>
      </c>
    </row>
    <row r="9" spans="1:3">
      <c r="A9">
        <v>0</v>
      </c>
      <c r="B9">
        <f>ROUND('周日均用户数'!E30,1)</f>
        <v>0</v>
      </c>
      <c r="C9">
        <f>ROUND('日均流量'!E30,1)</f>
        <v>0</v>
      </c>
    </row>
    <row r="10" spans="1:3">
      <c r="A10">
        <v>0</v>
      </c>
      <c r="B10">
        <f>ROUND('周日均用户数'!E31,1)</f>
        <v>0</v>
      </c>
      <c r="C10">
        <f>ROUND('日均流量'!E31,1)</f>
        <v>0</v>
      </c>
    </row>
    <row r="11" spans="1:3">
      <c r="A11">
        <v>0</v>
      </c>
      <c r="B11">
        <f>ROUND('周日均用户数'!E32,1)</f>
        <v>0</v>
      </c>
      <c r="C11">
        <f>ROUND('日均流量'!E32,1)</f>
        <v>0</v>
      </c>
    </row>
    <row r="12" spans="1:3">
      <c r="A12">
        <v>0</v>
      </c>
      <c r="B12">
        <f>ROUND('周日均用户数'!E33,1)</f>
        <v>0</v>
      </c>
      <c r="C12">
        <f>ROUND('日均流量'!E33,1)</f>
        <v>0</v>
      </c>
    </row>
    <row r="13" spans="1:3">
      <c r="A13">
        <v>0</v>
      </c>
      <c r="B13">
        <f>ROUND('周日均用户数'!E34,1)</f>
        <v>0</v>
      </c>
      <c r="C13">
        <f>ROUND('日均流量'!E34,1)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</cols>
  <sheetData>
    <row r="1" spans="1:3">
      <c r="A1" s="1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3" t="s">
        <v>30</v>
      </c>
      <c r="B3" s="3" t="s">
        <v>31</v>
      </c>
      <c r="C3" s="4">
        <v>202.04</v>
      </c>
    </row>
    <row r="4" spans="1:3">
      <c r="A4" s="3" t="s">
        <v>32</v>
      </c>
      <c r="B4" s="3" t="s">
        <v>33</v>
      </c>
      <c r="C4" s="4">
        <v>199.64</v>
      </c>
    </row>
    <row r="5" spans="1:3">
      <c r="A5" s="2" t="s">
        <v>34</v>
      </c>
      <c r="B5" s="3" t="s">
        <v>35</v>
      </c>
      <c r="C5" s="13">
        <v>-2.4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周日均用户数</vt:lpstr>
      <vt:lpstr>日均流量</vt:lpstr>
      <vt:lpstr>基准线数据</vt:lpstr>
      <vt:lpstr>期末总用户数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2026-10-08T01:02:53Z</dcterms:created>
  <dcterms:modified xsi:type="dcterms:W3CDTF">2026-10-08T01:02:53Z</dcterms:modified>
</cp:coreProperties>
</file>