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1" autoFilterDateGrouping="1"/>
  </bookViews>
  <sheets>
    <sheet name="Sheet1" sheetId="1" state="visible" r:id="rId1"/>
    <sheet name="计算结果" sheetId="2" state="visible" r:id="rId2"/>
    <sheet name="1 移动网络ipv6流量情况" sheetId="3" state="visible" r:id="rId3"/>
    <sheet name="过程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_);[Red]\(0.0\)"/>
  </numFmts>
  <fonts count="11">
    <font>
      <name val="宋体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10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sz val="10"/>
      <scheme val="minor"/>
    </font>
    <font>
      <name val="黑体"/>
      <charset val="134"/>
      <family val="3"/>
      <b val="1"/>
      <sz val="14"/>
    </font>
    <font>
      <name val="微软雅黑"/>
      <charset val="134"/>
      <family val="2"/>
      <sz val="10"/>
    </font>
    <font>
      <name val="等线"/>
      <charset val="134"/>
      <family val="3"/>
      <color theme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3CCCC"/>
      </right>
      <top style="thin">
        <color rgb="FF33CCCC"/>
      </top>
      <bottom style="thin">
        <color rgb="FF33CCCC"/>
      </bottom>
      <diagonal/>
    </border>
    <border>
      <left style="thin">
        <color rgb="FF33CCCC"/>
      </left>
      <right style="thin">
        <color rgb="FF33CCCC"/>
      </right>
      <top style="thin">
        <color rgb="FF33CCCC"/>
      </top>
      <bottom style="thin">
        <color rgb="FF33CC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7" fillId="6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2" fillId="8" borderId="1" pivotButton="0" quotePrefix="0" xfId="0"/>
    <xf numFmtId="0" fontId="2" fillId="0" borderId="1" pivotButton="0" quotePrefix="0" xfId="0"/>
    <xf numFmtId="0" fontId="0" fillId="3" borderId="1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" fillId="6" borderId="3" applyAlignment="1" pivotButton="0" quotePrefix="0" xfId="0">
      <alignment horizontal="left" vertical="center"/>
    </xf>
    <xf numFmtId="0" fontId="1" fillId="7" borderId="3" applyAlignment="1" pivotButton="0" quotePrefix="0" xfId="0">
      <alignment horizontal="left" vertical="center"/>
    </xf>
    <xf numFmtId="165" fontId="7" fillId="6" borderId="3" applyAlignment="1" pivotButton="0" quotePrefix="0" xfId="0">
      <alignment horizontal="left" vertical="center"/>
    </xf>
    <xf numFmtId="165" fontId="7" fillId="7" borderId="3" applyAlignment="1" pivotButton="0" quotePrefix="0" xfId="0">
      <alignment horizontal="left" vertical="center"/>
    </xf>
    <xf numFmtId="10" fontId="7" fillId="6" borderId="3" applyAlignment="1" pivotButton="0" quotePrefix="0" xfId="0">
      <alignment horizontal="left" vertical="center"/>
    </xf>
    <xf numFmtId="10" fontId="7" fillId="7" borderId="3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pivotButton="0" quotePrefix="0" xfId="0"/>
    <xf numFmtId="165" fontId="7" fillId="6" borderId="3" applyAlignment="1" pivotButton="0" quotePrefix="0" xfId="0">
      <alignment horizontal="left" vertical="center"/>
    </xf>
    <xf numFmtId="165" fontId="7" fillId="7" borderId="3" applyAlignment="1" pivotButton="0" quotePrefix="0" xfId="0">
      <alignment horizontal="left" vertical="center"/>
    </xf>
    <xf numFmtId="164" fontId="0" fillId="0" borderId="1" pivotButton="0" quotePrefix="0" xfId="0"/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4" sqref="D4"/>
    </sheetView>
  </sheetViews>
  <sheetFormatPr baseColWidth="8" defaultColWidth="9" defaultRowHeight="13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D16" sqref="D16"/>
    </sheetView>
  </sheetViews>
  <sheetFormatPr baseColWidth="8" defaultColWidth="9" defaultRowHeight="13.5"/>
  <cols>
    <col width="13.25" customWidth="1" style="10" min="1" max="1"/>
    <col width="36.5" customWidth="1" style="10" min="2" max="2"/>
    <col width="11.125" customWidth="1" style="10" min="3" max="5"/>
    <col width="17.125" customWidth="1" style="28" min="6" max="6"/>
    <col width="14.375" bestFit="1" customWidth="1" style="28" min="7" max="8"/>
    <col width="14.375" customWidth="1" style="28" min="9" max="9"/>
    <col width="17.5" bestFit="1" customWidth="1" style="28" min="10" max="10"/>
    <col width="16.375" bestFit="1" customWidth="1" style="28" min="11" max="11"/>
    <col width="14.375" bestFit="1" customWidth="1" style="28" min="12" max="13"/>
    <col width="14.375" customWidth="1" style="28" min="14" max="14"/>
    <col width="17.5" bestFit="1" customWidth="1" style="28" min="15" max="15"/>
  </cols>
  <sheetData>
    <row r="1" ht="18.75" customHeight="1" s="28">
      <c r="A1" s="10" t="inlineStr">
        <is>
          <t>日期</t>
        </is>
      </c>
      <c r="B1" s="11" t="inlineStr">
        <is>
          <t>关键指标</t>
        </is>
      </c>
      <c r="C1" s="11" t="inlineStr">
        <is>
          <t>前日指标</t>
        </is>
      </c>
      <c r="D1" s="11" t="inlineStr">
        <is>
          <t>昨日指标</t>
        </is>
      </c>
      <c r="E1" s="11" t="inlineStr">
        <is>
          <t>日环比</t>
        </is>
      </c>
      <c r="F1" s="18" t="inlineStr">
        <is>
          <t>昨日华为传统EPC</t>
        </is>
      </c>
      <c r="G1" s="18" t="inlineStr">
        <is>
          <t>昨日华为5G SA</t>
        </is>
      </c>
      <c r="H1" s="18" t="inlineStr">
        <is>
          <t>昨日中兴5G SA</t>
        </is>
      </c>
      <c r="I1" s="18" t="inlineStr">
        <is>
          <t>昨日中兴4/5G融合</t>
        </is>
      </c>
      <c r="J1" s="18" t="inlineStr">
        <is>
          <t>昨日华为4/5G融合</t>
        </is>
      </c>
      <c r="K1" s="18" t="inlineStr">
        <is>
          <t>前日华为传统EPC</t>
        </is>
      </c>
      <c r="L1" s="18" t="inlineStr">
        <is>
          <t>前日华为5G SA</t>
        </is>
      </c>
      <c r="M1" s="18" t="inlineStr">
        <is>
          <t>前日中兴5G SA</t>
        </is>
      </c>
      <c r="N1" s="18" t="inlineStr">
        <is>
          <t>前日中兴4/5G融合</t>
        </is>
      </c>
      <c r="O1" s="18" t="inlineStr">
        <is>
          <t>前日华为4/5G融合</t>
        </is>
      </c>
    </row>
    <row r="2" ht="16.5" customHeight="1" s="28">
      <c r="A2" t="inlineStr">
        <is>
          <t>2026-08-28</t>
        </is>
      </c>
      <c r="B2" s="20" t="inlineStr">
        <is>
          <t>4G附着用户数（万）</t>
        </is>
      </c>
      <c r="C2" s="29">
        <f>SUM(K2:O2)/10000</f>
        <v/>
      </c>
      <c r="D2" s="29">
        <f>SUM(F2:J2)/10000</f>
        <v/>
      </c>
      <c r="E2" s="24">
        <f>D2/C2-1</f>
        <v/>
      </c>
      <c r="F2" t="n">
        <v>0</v>
      </c>
      <c r="I2" t="n">
        <v>10160038</v>
      </c>
      <c r="J2" t="n">
        <v>36205896</v>
      </c>
      <c r="K2" t="n">
        <v>0</v>
      </c>
      <c r="N2" t="n">
        <v>10121545</v>
      </c>
      <c r="O2" t="n">
        <v>36106353</v>
      </c>
    </row>
    <row r="3" ht="16.5" customHeight="1" s="28">
      <c r="B3" s="21" t="inlineStr">
        <is>
          <t>NSA附着用户数（万）</t>
        </is>
      </c>
      <c r="C3" s="30">
        <f>SUM(K3:O3)/10000</f>
        <v/>
      </c>
      <c r="D3" s="30">
        <f>SUM(F3:J3)/10000</f>
        <v/>
      </c>
      <c r="E3" s="25">
        <f>D3/C3-1</f>
        <v/>
      </c>
      <c r="F3" t="n">
        <v>0</v>
      </c>
      <c r="J3" t="n">
        <v>8349448</v>
      </c>
      <c r="K3" t="n">
        <v>0</v>
      </c>
      <c r="O3" t="n">
        <v>8296418</v>
      </c>
    </row>
    <row r="4" ht="16.5" customHeight="1" s="28">
      <c r="B4" s="20" t="inlineStr">
        <is>
          <t>5G注册用户数（万）</t>
        </is>
      </c>
      <c r="C4" s="29">
        <f>SUM(K4:O4)/10000</f>
        <v/>
      </c>
      <c r="D4" s="29">
        <f>SUM(F4:J4)/10000</f>
        <v/>
      </c>
      <c r="E4" s="24">
        <f>D4/C4-1</f>
        <v/>
      </c>
      <c r="G4" t="n">
        <v>29157903</v>
      </c>
      <c r="H4" t="n">
        <v>8891968</v>
      </c>
      <c r="L4" t="n">
        <v>29120432</v>
      </c>
      <c r="M4" t="n">
        <v>8880904</v>
      </c>
    </row>
    <row r="5" ht="16.5" customHeight="1" s="28">
      <c r="B5" s="21" t="inlineStr">
        <is>
          <t>4G SGi流量(TB)</t>
        </is>
      </c>
      <c r="C5" s="30">
        <f>SUM(K5:O5)</f>
        <v/>
      </c>
      <c r="D5" s="30">
        <f>SUM(F5:J5)</f>
        <v/>
      </c>
      <c r="E5" s="25">
        <f>D5/C5-1</f>
        <v/>
      </c>
      <c r="I5" t="n">
        <v>1363.906892539235</v>
      </c>
      <c r="J5" t="n">
        <v>5357.288387036882</v>
      </c>
      <c r="N5" t="n">
        <v>1387.792880968424</v>
      </c>
      <c r="O5" t="n">
        <v>5367.066369849257</v>
      </c>
    </row>
    <row r="6" ht="16.5" customHeight="1" s="28">
      <c r="B6" s="20" t="inlineStr">
        <is>
          <t>NSA流量(TB)</t>
        </is>
      </c>
      <c r="C6" s="29">
        <f>SUM(K6:O6)</f>
        <v/>
      </c>
      <c r="D6" s="29">
        <f>SUM(F6:J6)</f>
        <v/>
      </c>
      <c r="E6" s="24">
        <f>D6/C6-1</f>
        <v/>
      </c>
      <c r="J6" t="n">
        <v>1934.180125570856</v>
      </c>
      <c r="O6" t="n">
        <v>1948.230330319144</v>
      </c>
    </row>
    <row r="7" ht="16.5" customHeight="1" s="28">
      <c r="B7" s="21" t="inlineStr">
        <is>
          <t>5G SA流量(TB)</t>
        </is>
      </c>
      <c r="C7" s="30">
        <f>SUM(K7:O7)</f>
        <v/>
      </c>
      <c r="D7" s="30">
        <f>SUM(F7:J7)</f>
        <v/>
      </c>
      <c r="E7" s="25">
        <f>D7/C7-1</f>
        <v/>
      </c>
      <c r="G7" t="n">
        <v>24961.07255621348</v>
      </c>
      <c r="H7" t="n">
        <v>4972.728486026637</v>
      </c>
      <c r="L7" t="n">
        <v>24884.70821894333</v>
      </c>
      <c r="M7" t="n">
        <v>5045.973042823374</v>
      </c>
    </row>
    <row r="8" ht="16.5" customHeight="1" s="28">
      <c r="B8" s="20" t="inlineStr">
        <is>
          <t>5G SGI流量(TB)</t>
        </is>
      </c>
      <c r="C8" s="29">
        <f>N5+O5</f>
        <v/>
      </c>
      <c r="D8" s="29">
        <f>I5+J5</f>
        <v/>
      </c>
      <c r="E8" s="24">
        <f>D8/C8-1</f>
        <v/>
      </c>
    </row>
    <row r="9" ht="16.5" customHeight="1" s="28">
      <c r="B9" s="21" t="inlineStr">
        <is>
          <t>4G IPV6流量(TB)</t>
        </is>
      </c>
      <c r="C9" s="30">
        <f>SUM(K9:O9)</f>
        <v/>
      </c>
      <c r="D9" s="30">
        <f>SUM(F9:J9)</f>
        <v/>
      </c>
      <c r="E9" s="25">
        <f>D9/C9-1</f>
        <v/>
      </c>
      <c r="I9" t="n">
        <v>927.6167230606079</v>
      </c>
      <c r="J9" t="n">
        <v>3762.426366240717</v>
      </c>
      <c r="N9" t="n">
        <v>948.8960294723511</v>
      </c>
      <c r="O9" t="n">
        <v>3781.74085231591</v>
      </c>
    </row>
    <row r="10" ht="16.5" customHeight="1" s="28">
      <c r="B10" s="20" t="inlineStr">
        <is>
          <t>NSA IPV6流量(TB)</t>
        </is>
      </c>
      <c r="C10" s="29">
        <f>SUM(K10:O10)</f>
        <v/>
      </c>
      <c r="D10" s="29">
        <f>SUM(F10:J10)</f>
        <v/>
      </c>
      <c r="E10" s="24">
        <f>D10/C10-1</f>
        <v/>
      </c>
      <c r="J10" t="n">
        <v>1308.950670910068</v>
      </c>
      <c r="O10" t="n">
        <v>1321.503238410689</v>
      </c>
    </row>
    <row r="11" ht="16.5" customHeight="1" s="28">
      <c r="B11" s="21" t="inlineStr">
        <is>
          <t>5G IPV6流量(TB)</t>
        </is>
      </c>
      <c r="C11" s="30">
        <f>SUM(K11:O11)</f>
        <v/>
      </c>
      <c r="D11" s="30">
        <f>SUM(F11:J11)</f>
        <v/>
      </c>
      <c r="E11" s="25">
        <f>D11/C11-1</f>
        <v/>
      </c>
      <c r="G11" t="n">
        <v>17472.11127112526</v>
      </c>
      <c r="H11" t="n">
        <v>4869.504383324539</v>
      </c>
      <c r="L11" t="n">
        <v>17567.87681957893</v>
      </c>
      <c r="M11" t="n">
        <v>4991.372409561545</v>
      </c>
    </row>
    <row r="12" ht="14.25" customHeight="1" s="28">
      <c r="B12" s="14" t="n"/>
      <c r="J12" s="19" t="n"/>
    </row>
    <row r="13" ht="18.75" customHeight="1" s="28">
      <c r="B13" s="11" t="inlineStr">
        <is>
          <t>关键指标</t>
        </is>
      </c>
      <c r="C13" s="11" t="inlineStr">
        <is>
          <t>前日指标</t>
        </is>
      </c>
      <c r="D13" s="11" t="inlineStr">
        <is>
          <t>昨日指标</t>
        </is>
      </c>
      <c r="E13" s="11" t="inlineStr">
        <is>
          <t>日环比</t>
        </is>
      </c>
    </row>
    <row r="14" ht="16.5" customHeight="1" s="28">
      <c r="B14" s="20" t="inlineStr">
        <is>
          <t>4G排除用户原因附着成功率（%）</t>
        </is>
      </c>
      <c r="C14" s="12">
        <f>ROUND(AVERAGE(N14,O14),2)</f>
        <v/>
      </c>
      <c r="D14" s="12">
        <f>ROUND(AVERAGE(I14,J14),2)</f>
        <v/>
      </c>
      <c r="E14" s="24">
        <f>D14/C14-1</f>
        <v/>
      </c>
      <c r="F14" t="n">
        <v>0</v>
      </c>
      <c r="I14" t="n">
        <v>99.78037708333333</v>
      </c>
      <c r="J14" t="n">
        <v>99.05295138888884</v>
      </c>
      <c r="K14" t="n">
        <v>0</v>
      </c>
      <c r="N14" t="n">
        <v>99.75092291666668</v>
      </c>
      <c r="O14" t="n">
        <v>99.04046932870364</v>
      </c>
    </row>
    <row r="15" ht="16.5" customHeight="1" s="28">
      <c r="B15" s="21" t="inlineStr">
        <is>
          <t>5G排除用户原因初始注册成功率（%）</t>
        </is>
      </c>
      <c r="C15" s="13">
        <f>ROUND(AVERAGE(K15:O15),2)</f>
        <v/>
      </c>
      <c r="D15" s="13">
        <f>ROUND(AVERAGE(F15:J15),2)</f>
        <v/>
      </c>
      <c r="E15" s="25">
        <f>D15/C15-1</f>
        <v/>
      </c>
      <c r="G15" t="n">
        <v>99.98706192129613</v>
      </c>
      <c r="H15" t="n">
        <v>99.98992187499999</v>
      </c>
      <c r="L15" t="n">
        <v>99.98731597222198</v>
      </c>
      <c r="M15" t="n">
        <v>99.99476249999999</v>
      </c>
    </row>
    <row r="16" ht="16.5" customHeight="1" s="28">
      <c r="B16" s="20" t="inlineStr">
        <is>
          <t>5-4切换成功率（%）</t>
        </is>
      </c>
      <c r="C16" s="12">
        <f>ROUND(100*AVERAGE(K16:O16),2)</f>
        <v/>
      </c>
      <c r="D16" s="12">
        <f>ROUND(100*AVERAGE(F16:J16),2)</f>
        <v/>
      </c>
      <c r="E16" s="24">
        <f>D16/C16-1</f>
        <v/>
      </c>
      <c r="G16" t="n">
        <v>0.9957650998680373</v>
      </c>
      <c r="L16" t="n">
        <v>0.995677892758598</v>
      </c>
    </row>
    <row r="17" ht="16.5" customHeight="1" s="28">
      <c r="B17" s="21" t="inlineStr">
        <is>
          <t>4-5切换成功率（%）</t>
        </is>
      </c>
      <c r="C17" s="13">
        <f>ROUND(100*AVERAGE(K17:O17),2)</f>
        <v/>
      </c>
      <c r="D17" s="13">
        <f>ROUND(100*AVERAGE(F17:J17),2)</f>
        <v/>
      </c>
      <c r="E17" s="25">
        <f>D17/C17-1</f>
        <v/>
      </c>
      <c r="G17" t="n">
        <v>0.9978313850553141</v>
      </c>
      <c r="L17" t="n">
        <v>0.9978134696272067</v>
      </c>
    </row>
    <row r="18" ht="16.5" customHeight="1" s="28">
      <c r="B18" s="20" t="inlineStr">
        <is>
          <t>EPS Fallback成功率(%)</t>
        </is>
      </c>
      <c r="C18" s="12">
        <f>ROUND(100*AVERAGE(K18:O18),2)</f>
        <v/>
      </c>
      <c r="D18" s="12">
        <f>ROUND(100*AVERAGE(F18:J18),2)</f>
        <v/>
      </c>
      <c r="E18" s="24">
        <f>D18/C18-1</f>
        <v/>
      </c>
      <c r="G18" t="n">
        <v>0.9867951219222145</v>
      </c>
      <c r="H18" t="n">
        <v>0.9998469694455466</v>
      </c>
      <c r="L18" t="n">
        <v>0.9869912621787935</v>
      </c>
      <c r="M18" t="n">
        <v>0.9998515931765239</v>
      </c>
    </row>
    <row r="20" ht="27" customHeight="1" s="28">
      <c r="A20" s="18" t="inlineStr">
        <is>
          <t>备注：</t>
        </is>
      </c>
      <c r="B20" s="26" t="inlineStr">
        <is>
          <t>4G最大附着用户数在3：00左右。白天峰值18：00数据（万）</t>
        </is>
      </c>
      <c r="C20" s="10">
        <f>ROUND(SUM(F20:J20)/10000,2)</f>
        <v/>
      </c>
      <c r="I20" t="n">
        <v>9849862</v>
      </c>
      <c r="J20" t="n">
        <v>35004831</v>
      </c>
    </row>
    <row r="21" ht="27" customHeight="1" s="28">
      <c r="B21" s="26" t="inlineStr">
        <is>
          <t>4G Sgi流量（TB），4G IPV6流量（TB）：统计值为传统EPC+融合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D6" sqref="D6"/>
    </sheetView>
  </sheetViews>
  <sheetFormatPr baseColWidth="8" defaultColWidth="9" defaultRowHeight="13.5"/>
  <cols>
    <col width="7.125" customWidth="1" style="28" min="1" max="1"/>
    <col width="13.625" customWidth="1" style="28" min="2" max="2"/>
    <col width="13.125" customWidth="1" style="28" min="3" max="3"/>
    <col width="16.75" customWidth="1" style="28" min="4" max="7"/>
  </cols>
  <sheetData>
    <row r="1">
      <c r="A1" s="27" t="inlineStr">
        <is>
          <t>移动网络ipv6流量占比：请填写某一天的数据</t>
        </is>
      </c>
      <c r="E1" s="27" t="n"/>
    </row>
    <row r="2" ht="24" customHeight="1" s="28">
      <c r="A2" s="6" t="inlineStr">
        <is>
          <t>运营商</t>
        </is>
      </c>
      <c r="B2" s="6" t="inlineStr">
        <is>
          <t>数据日期(天)</t>
        </is>
      </c>
      <c r="C2" s="6" t="inlineStr">
        <is>
          <t>地市</t>
        </is>
      </c>
      <c r="D2" s="6" t="inlineStr">
        <is>
          <t>上行总流量（TB）</t>
        </is>
      </c>
      <c r="E2" s="6" t="inlineStr">
        <is>
          <t>IPv6上行流量（TB）</t>
        </is>
      </c>
      <c r="F2" s="6" t="inlineStr">
        <is>
          <t>下行总流量（TB）</t>
        </is>
      </c>
      <c r="G2" s="6" t="inlineStr">
        <is>
          <t>IPv6下行流量（TB）</t>
        </is>
      </c>
    </row>
    <row r="3">
      <c r="A3" s="7" t="inlineStr">
        <is>
          <t>移动</t>
        </is>
      </c>
      <c r="B3" s="8">
        <f>TODAY()-1</f>
        <v/>
      </c>
      <c r="C3" s="7" t="inlineStr">
        <is>
          <t>南京</t>
        </is>
      </c>
      <c r="D3" s="31">
        <f>VLOOKUP($C3,过程!$A:$M,2,FALSE)+VLOOKUP($C3,过程!$A:$M,10,FALSE)</f>
        <v/>
      </c>
      <c r="E3" s="31">
        <f>VLOOKUP($C3,过程!$A:$M,4,FALSE)+VLOOKUP($C3,过程!$A:$M,12,FALSE)</f>
        <v/>
      </c>
      <c r="F3" s="31">
        <f>VLOOKUP($C3,过程!$A:$M,3,FALSE)+VLOOKUP($C3,过程!$A:$M,11,FALSE)</f>
        <v/>
      </c>
      <c r="G3" s="31">
        <f>VLOOKUP($C3,过程!$A:$M,5,FALSE)+VLOOKUP($C3,过程!$A:$M,13,FALSE)</f>
        <v/>
      </c>
    </row>
    <row r="4">
      <c r="A4" s="7" t="inlineStr">
        <is>
          <t>移动</t>
        </is>
      </c>
      <c r="B4" s="8">
        <f>TODAY()-1</f>
        <v/>
      </c>
      <c r="C4" s="7" t="inlineStr">
        <is>
          <t>无锡</t>
        </is>
      </c>
      <c r="D4" s="31">
        <f>VLOOKUP($C4,过程!$A:$M,2,FALSE)+VLOOKUP($C4,过程!$A:$M,10,FALSE)+VLOOKUP($C4,过程!$A:$Q,14,FALSE)</f>
        <v/>
      </c>
      <c r="E4" s="31">
        <f>VLOOKUP($C4,过程!$A:$M,4,FALSE)+VLOOKUP($C4,过程!$A:$M,12,FALSE)+VLOOKUP($C4,过程!$A:$Q,16,FALSE)</f>
        <v/>
      </c>
      <c r="F4" s="31">
        <f>VLOOKUP($C4,过程!$A:$M,3,FALSE)+VLOOKUP($C4,过程!$A:$M,11,FALSE)+VLOOKUP($C4,过程!$A:$Q,15,FALSE)</f>
        <v/>
      </c>
      <c r="G4" s="31">
        <f>VLOOKUP($C4,过程!$A:$M,5,FALSE)+VLOOKUP($C4,过程!$A:$M,13,FALSE)+VLOOKUP($C4,过程!$A:$Q,17,FALSE)</f>
        <v/>
      </c>
    </row>
    <row r="5">
      <c r="A5" s="7" t="inlineStr">
        <is>
          <t>移动</t>
        </is>
      </c>
      <c r="B5" s="8">
        <f>TODAY()-1</f>
        <v/>
      </c>
      <c r="C5" s="7" t="inlineStr">
        <is>
          <t>徐州</t>
        </is>
      </c>
      <c r="D5" s="31">
        <f>VLOOKUP($C5,过程!$A:$M,2,FALSE)+VLOOKUP($C5,过程!$A:$M,10,FALSE)</f>
        <v/>
      </c>
      <c r="E5" s="31">
        <f>VLOOKUP($C5,过程!$A:$M,4,FALSE)+VLOOKUP($C5,过程!$A:$M,12,FALSE)</f>
        <v/>
      </c>
      <c r="F5" s="31">
        <f>VLOOKUP($C5,过程!$A:$M,3,FALSE)+VLOOKUP($C5,过程!$A:$M,11,FALSE)</f>
        <v/>
      </c>
      <c r="G5" s="31">
        <f>VLOOKUP($C5,过程!$A:$M,5,FALSE)+VLOOKUP($C5,过程!$A:$M,13,FALSE)</f>
        <v/>
      </c>
    </row>
    <row r="6">
      <c r="A6" s="7" t="inlineStr">
        <is>
          <t>移动</t>
        </is>
      </c>
      <c r="B6" s="8">
        <f>TODAY()-1</f>
        <v/>
      </c>
      <c r="C6" s="7" t="inlineStr">
        <is>
          <t>常州</t>
        </is>
      </c>
      <c r="D6" s="31">
        <f>VLOOKUP($C6,过程!$A:$M,2,FALSE)+VLOOKUP($C6,过程!$A:$M,10,FALSE)+VLOOKUP($C6,过程!$A:$Q,14,FALSE)</f>
        <v/>
      </c>
      <c r="E6" s="31">
        <f>VLOOKUP($C6,过程!$A:$M,4,FALSE)+VLOOKUP($C6,过程!$A:$M,12,FALSE)+VLOOKUP($C6,过程!$A:$Q,16,FALSE)</f>
        <v/>
      </c>
      <c r="F6" s="31">
        <f>VLOOKUP($C6,过程!$A:$M,3,FALSE)+VLOOKUP($C6,过程!$A:$M,11,FALSE)+VLOOKUP($C6,过程!$A:$Q,15,FALSE)</f>
        <v/>
      </c>
      <c r="G6" s="31">
        <f>VLOOKUP($C6,过程!$A:$M,5,FALSE)+VLOOKUP($C6,过程!$A:$M,13,FALSE)+VLOOKUP($C6,过程!$A:$Q,17,FALSE)</f>
        <v/>
      </c>
    </row>
    <row r="7">
      <c r="A7" s="7" t="inlineStr">
        <is>
          <t>移动</t>
        </is>
      </c>
      <c r="B7" s="8">
        <f>TODAY()-1</f>
        <v/>
      </c>
      <c r="C7" s="7" t="inlineStr">
        <is>
          <t>苏州</t>
        </is>
      </c>
      <c r="D7" s="31">
        <f>VLOOKUP($C7,过程!$A:$M,2,FALSE)+VLOOKUP($C7,过程!$A:$M,10,FALSE)+VLOOKUP($C7,过程!$A:$Q,14,FALSE)</f>
        <v/>
      </c>
      <c r="E7" s="31">
        <f>VLOOKUP($C7,过程!$A:$M,4,FALSE)+VLOOKUP($C7,过程!$A:$M,12,FALSE)+VLOOKUP($C7,过程!$A:$Q,16,FALSE)</f>
        <v/>
      </c>
      <c r="F7" s="31">
        <f>VLOOKUP($C7,过程!$A:$M,3,FALSE)+VLOOKUP($C7,过程!$A:$M,11,FALSE)+VLOOKUP($C7,过程!$A:$Q,15,FALSE)</f>
        <v/>
      </c>
      <c r="G7" s="31">
        <f>VLOOKUP($C7,过程!$A:$M,5,FALSE)+VLOOKUP($C7,过程!$A:$M,13,FALSE)+VLOOKUP($C7,过程!$A:$Q,17,FALSE)</f>
        <v/>
      </c>
    </row>
    <row r="8">
      <c r="A8" s="7" t="inlineStr">
        <is>
          <t>移动</t>
        </is>
      </c>
      <c r="B8" s="8">
        <f>TODAY()-1</f>
        <v/>
      </c>
      <c r="C8" s="7" t="inlineStr">
        <is>
          <t>南通</t>
        </is>
      </c>
      <c r="D8" s="31">
        <f>VLOOKUP($C8,过程!$A:$M,2,FALSE)+VLOOKUP($C8,过程!$A:$M,10,FALSE)+VLOOKUP($C8,过程!$A:$Q,14,FALSE)</f>
        <v/>
      </c>
      <c r="E8" s="31">
        <f>VLOOKUP($C8,过程!$A:$M,4,FALSE)+VLOOKUP($C8,过程!$A:$M,12,FALSE)+VLOOKUP($C8,过程!$A:$Q,16,FALSE)</f>
        <v/>
      </c>
      <c r="F8" s="31">
        <f>VLOOKUP($C8,过程!$A:$M,3,FALSE)+VLOOKUP($C8,过程!$A:$M,11,FALSE)+VLOOKUP($C8,过程!$A:$Q,15,FALSE)</f>
        <v/>
      </c>
      <c r="G8" s="31">
        <f>VLOOKUP($C8,过程!$A:$M,5,FALSE)+VLOOKUP($C8,过程!$A:$M,13,FALSE)+VLOOKUP($C8,过程!$A:$Q,17,FALSE)</f>
        <v/>
      </c>
    </row>
    <row r="9">
      <c r="A9" s="7" t="inlineStr">
        <is>
          <t>移动</t>
        </is>
      </c>
      <c r="B9" s="8">
        <f>TODAY()-1</f>
        <v/>
      </c>
      <c r="C9" s="7" t="inlineStr">
        <is>
          <t>连云港</t>
        </is>
      </c>
      <c r="D9" s="31">
        <f>VLOOKUP($C9,过程!$A:$M,2,FALSE)+VLOOKUP($C9,过程!$A:$M,10,FALSE)</f>
        <v/>
      </c>
      <c r="E9" s="31">
        <f>VLOOKUP($C9,过程!$A:$M,4,FALSE)+VLOOKUP($C9,过程!$A:$M,12,FALSE)</f>
        <v/>
      </c>
      <c r="F9" s="31">
        <f>VLOOKUP($C9,过程!$A:$M,3,FALSE)+VLOOKUP($C9,过程!$A:$M,11,FALSE)</f>
        <v/>
      </c>
      <c r="G9" s="31">
        <f>VLOOKUP($C9,过程!$A:$M,5,FALSE)+VLOOKUP($C9,过程!$A:$M,13,FALSE)</f>
        <v/>
      </c>
    </row>
    <row r="10">
      <c r="A10" s="7" t="inlineStr">
        <is>
          <t>移动</t>
        </is>
      </c>
      <c r="B10" s="8">
        <f>TODAY()-1</f>
        <v/>
      </c>
      <c r="C10" s="7" t="inlineStr">
        <is>
          <t>淮安</t>
        </is>
      </c>
      <c r="D10" s="31">
        <f>VLOOKUP($C10,过程!$A:$M,2,FALSE)+VLOOKUP($C10,过程!$A:$M,10,FALSE)</f>
        <v/>
      </c>
      <c r="E10" s="31">
        <f>VLOOKUP($C10,过程!$A:$M,4,FALSE)+VLOOKUP($C10,过程!$A:$M,12,FALSE)</f>
        <v/>
      </c>
      <c r="F10" s="31">
        <f>VLOOKUP($C10,过程!$A:$M,3,FALSE)+VLOOKUP($C10,过程!$A:$M,11,FALSE)</f>
        <v/>
      </c>
      <c r="G10" s="31">
        <f>VLOOKUP($C10,过程!$A:$M,5,FALSE)+VLOOKUP($C10,过程!$A:$M,13,FALSE)</f>
        <v/>
      </c>
    </row>
    <row r="11">
      <c r="A11" s="7" t="inlineStr">
        <is>
          <t>移动</t>
        </is>
      </c>
      <c r="B11" s="8">
        <f>TODAY()-1</f>
        <v/>
      </c>
      <c r="C11" s="7" t="inlineStr">
        <is>
          <t>盐城</t>
        </is>
      </c>
      <c r="D11" s="31">
        <f>VLOOKUP($C11,过程!$A:$M,6,FALSE)+VLOOKUP($C11,过程!$A:$M,10,FALSE)</f>
        <v/>
      </c>
      <c r="E11" s="31">
        <f>VLOOKUP($C11,过程!$A:$M,8,FALSE)+VLOOKUP($C11,过程!$A:$M,12,FALSE)</f>
        <v/>
      </c>
      <c r="F11" s="31">
        <f>VLOOKUP($C11,过程!$A:$M,7,FALSE)+VLOOKUP($C11,过程!$A:$M,11,FALSE)</f>
        <v/>
      </c>
      <c r="G11" s="31">
        <f>VLOOKUP($C11,过程!$A:$M,9,FALSE)+VLOOKUP($C11,过程!$A:$M,13,FALSE)</f>
        <v/>
      </c>
    </row>
    <row r="12">
      <c r="A12" s="7" t="inlineStr">
        <is>
          <t>移动</t>
        </is>
      </c>
      <c r="B12" s="8">
        <f>TODAY()-1</f>
        <v/>
      </c>
      <c r="C12" s="7" t="inlineStr">
        <is>
          <t>扬州</t>
        </is>
      </c>
      <c r="D12" s="31">
        <f>VLOOKUP($C12,过程!$A:$M,2,FALSE)+VLOOKUP($C12,过程!$A:$M,10,FALSE)</f>
        <v/>
      </c>
      <c r="E12" s="31">
        <f>VLOOKUP($C12,过程!$A:$M,4,FALSE)+VLOOKUP($C12,过程!$A:$M,12,FALSE)</f>
        <v/>
      </c>
      <c r="F12" s="31">
        <f>VLOOKUP($C12,过程!$A:$M,3,FALSE)+VLOOKUP($C12,过程!$A:$M,11,FALSE)</f>
        <v/>
      </c>
      <c r="G12" s="31">
        <f>VLOOKUP($C12,过程!$A:$M,5,FALSE)+VLOOKUP($C12,过程!$A:$M,13,FALSE)</f>
        <v/>
      </c>
    </row>
    <row r="13">
      <c r="A13" s="7" t="inlineStr">
        <is>
          <t>移动</t>
        </is>
      </c>
      <c r="B13" s="8">
        <f>TODAY()-1</f>
        <v/>
      </c>
      <c r="C13" s="7" t="inlineStr">
        <is>
          <t>镇江</t>
        </is>
      </c>
      <c r="D13" s="31">
        <f>VLOOKUP($C13,过程!$A:$M,2,FALSE)+VLOOKUP($C13,过程!$A:$M,10,FALSE)+VLOOKUP($C13,过程!$A:$Q,14,FALSE)</f>
        <v/>
      </c>
      <c r="E13" s="31">
        <f>VLOOKUP($C13,过程!$A:$M,4,FALSE)+VLOOKUP($C13,过程!$A:$M,12,FALSE)+VLOOKUP($C13,过程!$A:$Q,16,FALSE)</f>
        <v/>
      </c>
      <c r="F13" s="31">
        <f>VLOOKUP($C13,过程!$A:$M,3,FALSE)+VLOOKUP($C13,过程!$A:$M,11,FALSE)+VLOOKUP($C13,过程!$A:$Q,15,FALSE)</f>
        <v/>
      </c>
      <c r="G13" s="31">
        <f>VLOOKUP($C13,过程!$A:$M,5,FALSE)+VLOOKUP($C13,过程!$A:$M,13,FALSE)+VLOOKUP($C13,过程!$A:$Q,17,FALSE)</f>
        <v/>
      </c>
    </row>
    <row r="14">
      <c r="A14" s="7" t="inlineStr">
        <is>
          <t>移动</t>
        </is>
      </c>
      <c r="B14" s="8">
        <f>TODAY()-1</f>
        <v/>
      </c>
      <c r="C14" s="7" t="inlineStr">
        <is>
          <t>泰州</t>
        </is>
      </c>
      <c r="D14" s="31">
        <f>VLOOKUP($C14,过程!$A:$M,2,FALSE)+VLOOKUP($C14,过程!$A:$M,10,FALSE)</f>
        <v/>
      </c>
      <c r="E14" s="31">
        <f>VLOOKUP($C14,过程!$A:$M,4,FALSE)+VLOOKUP($C14,过程!$A:$M,12,FALSE)</f>
        <v/>
      </c>
      <c r="F14" s="31">
        <f>VLOOKUP($C14,过程!$A:$M,3,FALSE)+VLOOKUP($C14,过程!$A:$M,11,FALSE)</f>
        <v/>
      </c>
      <c r="G14" s="31">
        <f>VLOOKUP($C14,过程!$A:$M,5,FALSE)+VLOOKUP($C14,过程!$A:$M,13,FALSE)</f>
        <v/>
      </c>
    </row>
    <row r="15">
      <c r="A15" s="7" t="inlineStr">
        <is>
          <t>移动</t>
        </is>
      </c>
      <c r="B15" s="8">
        <f>TODAY()-1</f>
        <v/>
      </c>
      <c r="C15" s="7" t="inlineStr">
        <is>
          <t>宿迁</t>
        </is>
      </c>
      <c r="D15" s="31">
        <f>VLOOKUP($C15,过程!$A:$M,2,FALSE)+VLOOKUP($C15,过程!$A:$M,10,FALSE)</f>
        <v/>
      </c>
      <c r="E15" s="31">
        <f>VLOOKUP($C15,过程!$A:$M,4,FALSE)+VLOOKUP($C15,过程!$A:$M,12,FALSE)</f>
        <v/>
      </c>
      <c r="F15" s="31">
        <f>VLOOKUP($C15,过程!$A:$M,3,FALSE)+VLOOKUP($C15,过程!$A:$M,11,FALSE)</f>
        <v/>
      </c>
      <c r="G15" s="31">
        <f>VLOOKUP($C15,过程!$A:$M,5,FALSE)+VLOOKUP($C15,过程!$A:$M,13,FALSE)</f>
        <v/>
      </c>
    </row>
    <row r="16">
      <c r="A16" s="7" t="inlineStr">
        <is>
          <t>移动</t>
        </is>
      </c>
      <c r="B16" s="8">
        <f>TODAY()-1</f>
        <v/>
      </c>
      <c r="C16" s="7" t="inlineStr">
        <is>
          <t>总计</t>
        </is>
      </c>
      <c r="D16" s="31">
        <f>SUM(D3:D15)</f>
        <v/>
      </c>
      <c r="E16" s="31">
        <f>SUM(E3:E15)</f>
        <v/>
      </c>
      <c r="F16" s="31">
        <f>SUM(F3:F15)</f>
        <v/>
      </c>
      <c r="G16" s="31">
        <f>SUM(G3:G15)</f>
        <v/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B2" sqref="B2"/>
    </sheetView>
  </sheetViews>
  <sheetFormatPr baseColWidth="8" defaultColWidth="9" defaultRowHeight="16.5"/>
  <cols>
    <col width="9.75" customWidth="1" style="1" min="1" max="1"/>
    <col width="11.625" customWidth="1" style="1" min="2" max="3"/>
    <col width="13.625" customWidth="1" style="1" min="4" max="4"/>
    <col width="13" customWidth="1" style="1" min="5" max="5"/>
    <col width="11.625" customWidth="1" style="1" min="6" max="7"/>
    <col width="13.625" customWidth="1" style="1" min="8" max="8"/>
    <col width="13.375" customWidth="1" style="1" min="9" max="9"/>
    <col width="11.625" customWidth="1" style="1" min="10" max="13"/>
    <col width="12.75" bestFit="1" customWidth="1" style="2" min="14" max="17"/>
    <col width="9" customWidth="1" style="2" min="18" max="16384"/>
  </cols>
  <sheetData>
    <row r="1">
      <c r="A1" s="3" t="inlineStr">
        <is>
          <t>地市(TB)</t>
        </is>
      </c>
      <c r="B1" s="3" t="inlineStr">
        <is>
          <t>EPC总上行</t>
        </is>
      </c>
      <c r="C1" s="3" t="inlineStr">
        <is>
          <t>EPC总下行</t>
        </is>
      </c>
      <c r="D1" s="3" t="inlineStr">
        <is>
          <t>EPC IPV6 上行</t>
        </is>
      </c>
      <c r="E1" s="3" t="inlineStr">
        <is>
          <t>EPC IPV6 下行</t>
        </is>
      </c>
      <c r="F1" s="3" t="inlineStr">
        <is>
          <t>vepc上行</t>
        </is>
      </c>
      <c r="G1" s="3" t="inlineStr">
        <is>
          <t>vepc下行</t>
        </is>
      </c>
      <c r="H1" s="3" t="inlineStr">
        <is>
          <t>vpec IPV6上行</t>
        </is>
      </c>
      <c r="I1" s="3" t="inlineStr">
        <is>
          <t>vepc IPV6下行</t>
        </is>
      </c>
      <c r="J1" s="3" t="inlineStr">
        <is>
          <t>5G总上行</t>
        </is>
      </c>
      <c r="K1" s="3" t="inlineStr">
        <is>
          <t>5G总下行</t>
        </is>
      </c>
      <c r="L1" s="3" t="inlineStr">
        <is>
          <t>5G IPV6上行</t>
        </is>
      </c>
      <c r="M1" s="3" t="inlineStr">
        <is>
          <t>5G IPV6下行</t>
        </is>
      </c>
      <c r="N1" s="15" t="inlineStr">
        <is>
          <t>爱立信EPC上行</t>
        </is>
      </c>
      <c r="O1" s="15" t="inlineStr">
        <is>
          <t>爱立信EPC下行</t>
        </is>
      </c>
      <c r="P1" s="15" t="inlineStr">
        <is>
          <t>爱立信IPV6上行</t>
        </is>
      </c>
      <c r="Q1" s="15" t="inlineStr">
        <is>
          <t>爱立信IPV6下行</t>
        </is>
      </c>
    </row>
    <row r="2">
      <c r="A2" s="4" t="inlineStr">
        <is>
          <t>南京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>
        <v>456.67</v>
      </c>
      <c r="K2" s="4" t="n">
        <v>4432.46</v>
      </c>
      <c r="L2" s="4" t="n">
        <v>262.13</v>
      </c>
      <c r="M2" s="4" t="n">
        <v>2414.32</v>
      </c>
      <c r="N2" s="16" t="n"/>
      <c r="O2" s="16" t="n"/>
      <c r="P2" s="16" t="n"/>
      <c r="Q2" s="16" t="n"/>
    </row>
    <row r="3">
      <c r="A3" s="4" t="inlineStr">
        <is>
          <t>无锡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>
        <v>318.67</v>
      </c>
      <c r="K3" s="4" t="n">
        <v>3238.06</v>
      </c>
      <c r="L3" s="4" t="n">
        <v>195.51</v>
      </c>
      <c r="M3" s="4" t="n">
        <v>1881.34</v>
      </c>
      <c r="N3" s="17" t="n"/>
      <c r="O3" s="17" t="n"/>
      <c r="P3" s="17" t="n"/>
      <c r="Q3" s="17" t="n"/>
    </row>
    <row r="4">
      <c r="A4" s="4" t="inlineStr">
        <is>
          <t>徐州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>
        <v>257.79</v>
      </c>
      <c r="K4" s="4" t="n">
        <v>2240.44</v>
      </c>
      <c r="L4" s="4" t="n">
        <v>182.52</v>
      </c>
      <c r="M4" s="4" t="n">
        <v>1447.5</v>
      </c>
      <c r="N4" s="16" t="n"/>
      <c r="O4" s="16" t="n"/>
      <c r="P4" s="16" t="n"/>
      <c r="Q4" s="16" t="n"/>
    </row>
    <row r="5">
      <c r="A5" s="4" t="inlineStr">
        <is>
          <t>常州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>
        <v>264.55</v>
      </c>
      <c r="K5" s="4" t="n">
        <v>2667.84</v>
      </c>
      <c r="L5" s="4" t="n">
        <v>158.13</v>
      </c>
      <c r="M5" s="4" t="n">
        <v>1498.07</v>
      </c>
      <c r="N5" s="17" t="n"/>
      <c r="O5" s="17" t="n"/>
      <c r="P5" s="17" t="n"/>
      <c r="Q5" s="17" t="n"/>
    </row>
    <row r="6">
      <c r="A6" s="4" t="inlineStr">
        <is>
          <t>苏州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>
        <v>834.28</v>
      </c>
      <c r="K6" s="4" t="n">
        <v>8414.67</v>
      </c>
      <c r="L6" s="4" t="n">
        <v>504.76</v>
      </c>
      <c r="M6" s="4" t="n">
        <v>4744.01</v>
      </c>
      <c r="N6" s="17" t="n"/>
      <c r="O6" s="17" t="n"/>
      <c r="P6" s="17" t="n"/>
      <c r="Q6" s="17" t="n"/>
    </row>
    <row r="7">
      <c r="A7" s="4" t="inlineStr">
        <is>
          <t>南通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>
        <v>289.8</v>
      </c>
      <c r="K7" s="4" t="n">
        <v>2847.67</v>
      </c>
      <c r="L7" s="4" t="n">
        <v>178.32</v>
      </c>
      <c r="M7" s="4" t="n">
        <v>1617.32</v>
      </c>
      <c r="N7" s="17" t="n"/>
      <c r="O7" s="17" t="n"/>
      <c r="P7" s="17" t="n"/>
      <c r="Q7" s="17" t="n"/>
    </row>
    <row r="8">
      <c r="A8" s="4" t="inlineStr">
        <is>
          <t>连云港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>
        <v>84.42</v>
      </c>
      <c r="K8" s="4" t="n">
        <v>756.95</v>
      </c>
      <c r="L8" s="4" t="n">
        <v>60.5</v>
      </c>
      <c r="M8" s="4" t="n">
        <v>485.64</v>
      </c>
      <c r="N8" s="16" t="n"/>
      <c r="O8" s="16" t="n"/>
      <c r="P8" s="16" t="n"/>
      <c r="Q8" s="16" t="n"/>
    </row>
    <row r="9">
      <c r="A9" s="4" t="inlineStr">
        <is>
          <t>淮安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>
        <v>159.82</v>
      </c>
      <c r="K9" s="4" t="n">
        <v>1525.44</v>
      </c>
      <c r="L9" s="4" t="n">
        <v>56.91</v>
      </c>
      <c r="M9" s="4" t="n">
        <v>491.1</v>
      </c>
      <c r="N9" s="16" t="n"/>
      <c r="O9" s="16" t="n"/>
      <c r="P9" s="16" t="n"/>
      <c r="Q9" s="16" t="n"/>
    </row>
    <row r="10">
      <c r="A10" s="4" t="inlineStr">
        <is>
          <t>盐城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>
        <v>199.11</v>
      </c>
      <c r="K10" s="4" t="n">
        <v>1910.96</v>
      </c>
      <c r="L10" s="4" t="n">
        <v>122.45</v>
      </c>
      <c r="M10" s="4" t="n">
        <v>1079.96</v>
      </c>
      <c r="N10" s="16" t="n"/>
      <c r="O10" s="16" t="n"/>
      <c r="P10" s="16" t="n"/>
      <c r="Q10" s="16" t="n"/>
    </row>
    <row r="11">
      <c r="A11" s="4" t="inlineStr">
        <is>
          <t>扬州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>
        <v>132.87</v>
      </c>
      <c r="K11" s="4" t="n">
        <v>1323.64</v>
      </c>
      <c r="L11" s="4" t="n">
        <v>79.27</v>
      </c>
      <c r="M11" s="4" t="n">
        <v>740.76</v>
      </c>
      <c r="N11" s="16" t="n"/>
      <c r="O11" s="16" t="n"/>
      <c r="P11" s="16" t="n"/>
      <c r="Q11" s="16" t="n"/>
    </row>
    <row r="12">
      <c r="A12" s="4" t="inlineStr">
        <is>
          <t>镇江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>
        <v>126.88</v>
      </c>
      <c r="K12" s="4" t="n">
        <v>1301.66</v>
      </c>
      <c r="L12" s="4" t="n">
        <v>77.47</v>
      </c>
      <c r="M12" s="4" t="n">
        <v>744.79</v>
      </c>
      <c r="N12" s="17" t="n"/>
      <c r="O12" s="17" t="n"/>
      <c r="P12" s="17" t="n"/>
      <c r="Q12" s="17" t="n"/>
    </row>
    <row r="13">
      <c r="A13" s="4" t="inlineStr">
        <is>
          <t>泰州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>
        <v>142.52</v>
      </c>
      <c r="K13" s="4" t="n">
        <v>1416.07</v>
      </c>
      <c r="L13" s="4" t="n">
        <v>87.91</v>
      </c>
      <c r="M13" s="4" t="n">
        <v>811.88</v>
      </c>
      <c r="N13" s="16" t="n"/>
      <c r="O13" s="16" t="n"/>
      <c r="P13" s="16" t="n"/>
      <c r="Q13" s="16" t="n"/>
    </row>
    <row r="14">
      <c r="A14" s="4" t="inlineStr">
        <is>
          <t>宿迁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>
        <v>83.8</v>
      </c>
      <c r="K14" s="4" t="n">
        <v>805.8</v>
      </c>
      <c r="L14" s="4" t="n">
        <v>60.16</v>
      </c>
      <c r="M14" s="4" t="n">
        <v>516.39</v>
      </c>
      <c r="N14" s="16" t="n"/>
      <c r="O14" s="16" t="n"/>
      <c r="P14" s="16" t="n"/>
      <c r="Q14" s="16" t="n"/>
    </row>
    <row r="15">
      <c r="A15" s="1" t="inlineStr">
        <is>
          <t>总计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2025-01-10T08:16:40Z</dcterms:modified>
  <cp:lastModifiedBy>86139</cp:lastModifiedBy>
</cp:coreProperties>
</file>