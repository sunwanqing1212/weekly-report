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周日均用户数" sheetId="1" r:id="rId1"/>
    <sheet name="日均流量" sheetId="2" r:id="rId2"/>
    <sheet name="基准线数据" sheetId="3" state="hidden" r:id="rId3"/>
    <sheet name="期末总用户数" sheetId="4" r:id="rId4"/>
  </sheets>
  <calcPr calcId="124519" fullCalcOnLoad="1"/>
</workbook>
</file>

<file path=xl/sharedStrings.xml><?xml version="1.0" encoding="utf-8"?>
<sst xmlns="http://schemas.openxmlformats.org/spreadsheetml/2006/main" count="53" uniqueCount="36">
  <si>
    <t>分地市周日均用户数明细（单位：万；增量/增幅为本周相对上周，占比为该地市占全省比例）</t>
  </si>
  <si>
    <t>地市</t>
  </si>
  <si>
    <t>上周(万)</t>
  </si>
  <si>
    <t>本周(万)</t>
  </si>
  <si>
    <t>增量(万)</t>
  </si>
  <si>
    <t>增幅</t>
  </si>
  <si>
    <t>占比(本周)</t>
  </si>
  <si>
    <t>连云港</t>
  </si>
  <si>
    <t>徐州</t>
  </si>
  <si>
    <t>淮安</t>
  </si>
  <si>
    <t>宿迁</t>
  </si>
  <si>
    <t>盐城</t>
  </si>
  <si>
    <t>南通</t>
  </si>
  <si>
    <t>扬州</t>
  </si>
  <si>
    <t>无锡</t>
  </si>
  <si>
    <t>镇江</t>
  </si>
  <si>
    <t>苏州</t>
  </si>
  <si>
    <t>泰州</t>
  </si>
  <si>
    <t>常州</t>
  </si>
  <si>
    <t>南京</t>
  </si>
  <si>
    <t>全省</t>
  </si>
  <si>
    <t>分地市日均流量明细（单位：T；增量/增幅为本周相对上周，占比为该地市占全省比例）；月均DOU(GB) = 本周日均流量 ÷ 本周日均用户数 × 当月天数（1T=1024GB）</t>
  </si>
  <si>
    <t>上周(T)</t>
  </si>
  <si>
    <t>本周(T)</t>
  </si>
  <si>
    <t>增量(T)</t>
  </si>
  <si>
    <t>月均DOU(GB)</t>
  </si>
  <si>
    <t>前后两周最后一天总用户数（单位：万）</t>
  </si>
  <si>
    <t>项目</t>
  </si>
  <si>
    <t>日期</t>
  </si>
  <si>
    <t>总用户数(万)</t>
  </si>
  <si>
    <t>上周最后一天</t>
  </si>
  <si>
    <t>09-10</t>
  </si>
  <si>
    <t>本周最后一天</t>
  </si>
  <si>
    <t>09-17</t>
  </si>
  <si>
    <t>增减额</t>
  </si>
  <si>
    <t>—</t>
  </si>
</sst>
</file>

<file path=xl/styles.xml><?xml version="1.0" encoding="utf-8"?>
<styleSheet xmlns="http://schemas.openxmlformats.org/spreadsheetml/2006/main">
  <numFmts count="6">
    <numFmt numFmtId="164" formatCode="#,##0.00"/>
    <numFmt numFmtId="165" formatCode="+0.00&quot;%&quot;;-0.00&quot;%&quot;"/>
    <numFmt numFmtId="166" formatCode="0.00&quot;%&quot;"/>
    <numFmt numFmtId="167" formatCode="#,##0"/>
    <numFmt numFmtId="168" formatCode="#,##0.0"/>
    <numFmt numFmtId="169" formatCode="+#,##0.00;-#,##0.00"/>
  </numFmts>
  <fonts count="6">
    <font>
      <sz val="11"/>
      <color theme="1"/>
      <name val="Calibri"/>
      <family val="2"/>
      <scheme val="minor"/>
    </font>
    <font>
      <b/>
      <sz val="12"/>
      <color theme="1"/>
      <name val="微软雅黑"/>
      <family val="2"/>
    </font>
    <font>
      <b/>
      <sz val="11"/>
      <color theme="1"/>
      <name val="微软雅黑"/>
      <family val="2"/>
    </font>
    <font>
      <sz val="11"/>
      <color theme="1"/>
      <name val="微软雅黑"/>
      <family val="2"/>
    </font>
    <font>
      <sz val="11"/>
      <color rgb="FF27AE60"/>
      <name val="微软雅黑"/>
      <family val="2"/>
    </font>
    <font>
      <sz val="11"/>
      <color rgb="FFC0392B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F2F5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165" fontId="4" fillId="0" borderId="1" xfId="0" applyNumberFormat="1" applyFont="1" applyBorder="1"/>
    <xf numFmtId="166" fontId="3" fillId="0" borderId="1" xfId="0" applyNumberFormat="1" applyFont="1" applyBorder="1"/>
    <xf numFmtId="165" fontId="5" fillId="0" borderId="1" xfId="0" applyNumberFormat="1" applyFont="1" applyBorder="1"/>
    <xf numFmtId="164" fontId="2" fillId="0" borderId="1" xfId="0" applyNumberFormat="1" applyFont="1" applyBorder="1"/>
    <xf numFmtId="167" fontId="3" fillId="0" borderId="1" xfId="0" applyNumberFormat="1" applyFont="1" applyBorder="1"/>
    <xf numFmtId="168" fontId="3" fillId="0" borderId="1" xfId="0" applyNumberFormat="1" applyFont="1" applyBorder="1"/>
    <xf numFmtId="167" fontId="2" fillId="0" borderId="1" xfId="0" applyNumberFormat="1" applyFont="1" applyBorder="1"/>
    <xf numFmtId="168" fontId="2" fillId="0" borderId="1" xfId="0" applyNumberFormat="1" applyFont="1" applyBorder="1"/>
    <xf numFmtId="169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200" b="1" baseline="0">
                <a:latin typeface="微软雅黑"/>
              </a:defRPr>
            </a:pPr>
            <a:r>
              <a:rPr lang="en-US" sz="1200" b="1" baseline="0">
                <a:latin typeface="微软雅黑"/>
              </a:rPr>
              <a:t>广电分地市用户数（周日均）及周增幅（按增幅升序）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上周(09-04~10日均)</c:v>
          </c:tx>
          <c:spPr>
            <a:solidFill>
              <a:srgbClr val="9DB8D2"/>
            </a:solidFill>
          </c:spPr>
          <c:cat>
            <c:strRef>
              <c:f>周日均用户数!$A$22:$A$34</c:f>
              <c:strCache>
                <c:ptCount val="13"/>
                <c:pt idx="0">
                  <c:v>连云港</c:v>
                </c:pt>
                <c:pt idx="1">
                  <c:v>徐州</c:v>
                </c:pt>
                <c:pt idx="2">
                  <c:v>淮安</c:v>
                </c:pt>
                <c:pt idx="3">
                  <c:v>宿迁</c:v>
                </c:pt>
                <c:pt idx="4">
                  <c:v>盐城</c:v>
                </c:pt>
                <c:pt idx="5">
                  <c:v>南通</c:v>
                </c:pt>
                <c:pt idx="6">
                  <c:v>扬州</c:v>
                </c:pt>
                <c:pt idx="7">
                  <c:v>无锡</c:v>
                </c:pt>
                <c:pt idx="8">
                  <c:v>镇江</c:v>
                </c:pt>
                <c:pt idx="9">
                  <c:v>苏州</c:v>
                </c:pt>
                <c:pt idx="10">
                  <c:v>泰州</c:v>
                </c:pt>
                <c:pt idx="11">
                  <c:v>常州</c:v>
                </c:pt>
                <c:pt idx="12">
                  <c:v>南京</c:v>
                </c:pt>
              </c:strCache>
            </c:strRef>
          </c:cat>
          <c:val>
            <c:numRef>
              <c:f>周日均用户数!$B$22:$B$34</c:f>
              <c:numCache>
                <c:formatCode>General</c:formatCode>
                <c:ptCount val="13"/>
                <c:pt idx="0">
                  <c:v>9.550000000000001</c:v>
                </c:pt>
                <c:pt idx="1">
                  <c:v>17.54</c:v>
                </c:pt>
                <c:pt idx="2">
                  <c:v>11.86</c:v>
                </c:pt>
                <c:pt idx="3">
                  <c:v>9.91</c:v>
                </c:pt>
                <c:pt idx="4">
                  <c:v>13.65</c:v>
                </c:pt>
                <c:pt idx="5">
                  <c:v>20.54</c:v>
                </c:pt>
                <c:pt idx="6">
                  <c:v>7.41</c:v>
                </c:pt>
                <c:pt idx="7">
                  <c:v>20.35</c:v>
                </c:pt>
                <c:pt idx="8">
                  <c:v>6.46</c:v>
                </c:pt>
                <c:pt idx="9">
                  <c:v>46.37</c:v>
                </c:pt>
                <c:pt idx="10">
                  <c:v>7.97</c:v>
                </c:pt>
                <c:pt idx="11">
                  <c:v>11.37</c:v>
                </c:pt>
                <c:pt idx="12">
                  <c:v>19.01</c:v>
                </c:pt>
              </c:numCache>
            </c:numRef>
          </c:val>
        </c:ser>
        <c:ser>
          <c:idx val="1"/>
          <c:order val="1"/>
          <c:tx>
            <c:v>本周(09-11~17日均)</c:v>
          </c:tx>
          <c:spPr>
            <a:solidFill>
              <a:srgbClr val="4E79A7"/>
            </a:solidFill>
          </c:spPr>
          <c:dLbls>
            <c:numFmt formatCode="#,##0.0" sourceLinked="0"/>
            <c:txPr>
              <a:bodyPr/>
              <a:lstStyle/>
              <a:p>
                <a:pPr>
                  <a:defRPr sz="900" baseline="0">
                    <a:latin typeface="微软雅黑"/>
                  </a:defRPr>
                </a:pPr>
                <a:endParaRPr lang="en-US"/>
              </a:p>
            </c:txPr>
            <c:showVal val="1"/>
          </c:dLbls>
          <c:cat>
            <c:strRef>
              <c:f>周日均用户数!$A$22:$A$34</c:f>
              <c:strCache>
                <c:ptCount val="13"/>
                <c:pt idx="0">
                  <c:v>连云港</c:v>
                </c:pt>
                <c:pt idx="1">
                  <c:v>徐州</c:v>
                </c:pt>
                <c:pt idx="2">
                  <c:v>淮安</c:v>
                </c:pt>
                <c:pt idx="3">
                  <c:v>宿迁</c:v>
                </c:pt>
                <c:pt idx="4">
                  <c:v>盐城</c:v>
                </c:pt>
                <c:pt idx="5">
                  <c:v>南通</c:v>
                </c:pt>
                <c:pt idx="6">
                  <c:v>扬州</c:v>
                </c:pt>
                <c:pt idx="7">
                  <c:v>无锡</c:v>
                </c:pt>
                <c:pt idx="8">
                  <c:v>镇江</c:v>
                </c:pt>
                <c:pt idx="9">
                  <c:v>苏州</c:v>
                </c:pt>
                <c:pt idx="10">
                  <c:v>泰州</c:v>
                </c:pt>
                <c:pt idx="11">
                  <c:v>常州</c:v>
                </c:pt>
                <c:pt idx="12">
                  <c:v>南京</c:v>
                </c:pt>
              </c:strCache>
            </c:strRef>
          </c:cat>
          <c:val>
            <c:numRef>
              <c:f>周日均用户数!$C$22:$C$34</c:f>
              <c:numCache>
                <c:formatCode>General</c:formatCode>
                <c:ptCount val="13"/>
                <c:pt idx="0">
                  <c:v>9.390000000000001</c:v>
                </c:pt>
                <c:pt idx="1">
                  <c:v>17.31</c:v>
                </c:pt>
                <c:pt idx="2">
                  <c:v>11.72</c:v>
                </c:pt>
                <c:pt idx="3">
                  <c:v>9.82</c:v>
                </c:pt>
                <c:pt idx="4">
                  <c:v>13.53</c:v>
                </c:pt>
                <c:pt idx="5">
                  <c:v>20.55</c:v>
                </c:pt>
                <c:pt idx="6">
                  <c:v>7.42</c:v>
                </c:pt>
                <c:pt idx="7">
                  <c:v>20.39</c:v>
                </c:pt>
                <c:pt idx="8">
                  <c:v>6.48</c:v>
                </c:pt>
                <c:pt idx="9">
                  <c:v>46.53</c:v>
                </c:pt>
                <c:pt idx="10">
                  <c:v>8</c:v>
                </c:pt>
                <c:pt idx="11">
                  <c:v>11.43</c:v>
                </c:pt>
                <c:pt idx="12">
                  <c:v>19.2</c:v>
                </c:pt>
              </c:numCache>
            </c:numRef>
          </c:val>
        </c:ser>
        <c:gapWidth val="60"/>
        <c:overlap val="-10"/>
        <c:axId val="50010001"/>
        <c:axId val="50010002"/>
      </c:barChart>
      <c:lineChart>
        <c:grouping val="standard"/>
        <c:ser>
          <c:idx val="2"/>
          <c:order val="2"/>
          <c:tx>
            <c:v>增幅</c:v>
          </c:tx>
          <c:spPr>
            <a:ln w="22225">
              <a:solidFill>
                <a:srgbClr val="E15759"/>
              </a:solidFill>
            </a:ln>
          </c:spPr>
          <c:marker>
            <c:symbol val="circle"/>
            <c:size val="6"/>
            <c:spPr>
              <a:solidFill>
                <a:srgbClr val="FFFFFF"/>
              </a:solidFill>
              <a:ln>
                <a:solidFill>
                  <a:srgbClr val="E15759"/>
                </a:solidFill>
              </a:ln>
            </c:spPr>
          </c:marker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2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3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4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5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6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7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8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9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0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1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2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numFmt formatCode="0.0&quot;%&quot;;-0.0&quot;%&quot;" sourceLinked="0"/>
            <c:txPr>
              <a:bodyPr/>
              <a:lstStyle/>
              <a:p>
                <a:pPr>
                  <a:defRPr sz="900" baseline="0">
                    <a:solidFill>
                      <a:srgbClr val="C0392B"/>
                    </a:solidFill>
                    <a:latin typeface="微软雅黑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周日均用户数!$A$22:$A$34</c:f>
              <c:strCache>
                <c:ptCount val="13"/>
                <c:pt idx="0">
                  <c:v>连云港</c:v>
                </c:pt>
                <c:pt idx="1">
                  <c:v>徐州</c:v>
                </c:pt>
                <c:pt idx="2">
                  <c:v>淮安</c:v>
                </c:pt>
                <c:pt idx="3">
                  <c:v>宿迁</c:v>
                </c:pt>
                <c:pt idx="4">
                  <c:v>盐城</c:v>
                </c:pt>
                <c:pt idx="5">
                  <c:v>南通</c:v>
                </c:pt>
                <c:pt idx="6">
                  <c:v>扬州</c:v>
                </c:pt>
                <c:pt idx="7">
                  <c:v>无锡</c:v>
                </c:pt>
                <c:pt idx="8">
                  <c:v>镇江</c:v>
                </c:pt>
                <c:pt idx="9">
                  <c:v>苏州</c:v>
                </c:pt>
                <c:pt idx="10">
                  <c:v>泰州</c:v>
                </c:pt>
                <c:pt idx="11">
                  <c:v>常州</c:v>
                </c:pt>
                <c:pt idx="12">
                  <c:v>南京</c:v>
                </c:pt>
              </c:strCache>
            </c:strRef>
          </c:cat>
          <c:val>
            <c:numRef>
              <c:f>'基准线数据'!$B$1:$B$13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3"/>
          <c:order val="3"/>
          <c:tx>
            <c:v>0基准线</c:v>
          </c:tx>
          <c:spPr>
            <a:ln w="12700">
              <a:solidFill>
                <a:srgbClr val="999999"/>
              </a:solidFill>
              <a:prstDash val="dash"/>
            </a:ln>
          </c:spPr>
          <c:marker>
            <c:symbol val="none"/>
          </c:marker>
          <c:cat>
            <c:strRef>
              <c:f>周日均用户数!$A$22:$A$34</c:f>
              <c:strCache>
                <c:ptCount val="13"/>
                <c:pt idx="0">
                  <c:v>连云港</c:v>
                </c:pt>
                <c:pt idx="1">
                  <c:v>徐州</c:v>
                </c:pt>
                <c:pt idx="2">
                  <c:v>淮安</c:v>
                </c:pt>
                <c:pt idx="3">
                  <c:v>宿迁</c:v>
                </c:pt>
                <c:pt idx="4">
                  <c:v>盐城</c:v>
                </c:pt>
                <c:pt idx="5">
                  <c:v>南通</c:v>
                </c:pt>
                <c:pt idx="6">
                  <c:v>扬州</c:v>
                </c:pt>
                <c:pt idx="7">
                  <c:v>无锡</c:v>
                </c:pt>
                <c:pt idx="8">
                  <c:v>镇江</c:v>
                </c:pt>
                <c:pt idx="9">
                  <c:v>苏州</c:v>
                </c:pt>
                <c:pt idx="10">
                  <c:v>泰州</c:v>
                </c:pt>
                <c:pt idx="11">
                  <c:v>常州</c:v>
                </c:pt>
                <c:pt idx="12">
                  <c:v>南京</c:v>
                </c:pt>
              </c:strCache>
            </c:strRef>
          </c:cat>
          <c:val>
            <c:numRef>
              <c:f>'基准线数据'!$A$1:$A$13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txPr>
          <a:bodyPr rot="-2700000" vert="horz"/>
          <a:lstStyle/>
          <a:p>
            <a:pPr>
              <a:defRPr sz="1000" baseline="0">
                <a:latin typeface="微软雅黑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66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万</a:t>
                </a:r>
              </a:p>
            </c:rich>
          </c:tx>
          <c:layout/>
        </c:title>
        <c:numFmt formatCode="#,##0" sourceLinked="0"/>
        <c:tickLblPos val="nextTo"/>
        <c:txPr>
          <a:bodyPr/>
          <a:lstStyle/>
          <a:p>
            <a:pPr>
              <a:defRPr sz="1000" baseline="0">
                <a:latin typeface="微软雅黑"/>
              </a:defRPr>
            </a:pPr>
            <a:endParaRPr lang="en-US"/>
          </a:p>
        </c:txPr>
        <c:crossAx val="50010001"/>
        <c:crosses val="autoZero"/>
        <c:crossBetween val="between"/>
      </c:valAx>
      <c:valAx>
        <c:axId val="60010002"/>
        <c:scaling>
          <c:orientation val="minMax"/>
          <c:max val="2.8"/>
          <c:min val="-9.3"/>
        </c:scaling>
        <c:axPos val="r"/>
        <c:title>
          <c:tx>
            <c:rich>
              <a:bodyPr rot="-5400000" vert="horz"/>
              <a:lstStyle/>
              <a:p>
                <a:pPr>
                  <a:defRPr sz="1000" baseline="0">
                    <a:latin typeface="微软雅黑"/>
                  </a:defRPr>
                </a:pPr>
                <a:r>
                  <a:rPr lang="en-US" sz="1000" baseline="0">
                    <a:latin typeface="微软雅黑"/>
                  </a:rPr>
                  <a:t>增幅(%)</a:t>
                </a:r>
              </a:p>
            </c:rich>
          </c:tx>
          <c:layout/>
        </c:title>
        <c:numFmt formatCode="General" sourceLinked="1"/>
        <c:tickLblPos val="none"/>
        <c:spPr>
          <a:ln>
            <a:noFill/>
          </a:ln>
        </c:spPr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legend>
      <c:legendPos val="b"/>
      <c:legendEntry>
        <c:idx val="3"/>
        <c:delete val="1"/>
      </c:legendEntry>
      <c:layout/>
      <c:txPr>
        <a:bodyPr/>
        <a:lstStyle/>
        <a:p>
          <a:pPr>
            <a:defRPr sz="1000" baseline="0">
              <a:latin typeface="微软雅黑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200" b="1" baseline="0">
                <a:latin typeface="微软雅黑"/>
              </a:defRPr>
            </a:pPr>
            <a:r>
              <a:rPr lang="en-US" sz="1200" b="1" baseline="0">
                <a:latin typeface="微软雅黑"/>
              </a:rPr>
              <a:t>广电分地市流量（日均）及周增幅（按增幅升序）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上周(09-04~10日均)</c:v>
          </c:tx>
          <c:spPr>
            <a:solidFill>
              <a:srgbClr val="9DB8D2"/>
            </a:solidFill>
          </c:spPr>
          <c:cat>
            <c:strRef>
              <c:f>日均流量!$A$22:$A$34</c:f>
              <c:strCache>
                <c:ptCount val="13"/>
                <c:pt idx="0">
                  <c:v>连云港</c:v>
                </c:pt>
                <c:pt idx="1">
                  <c:v>淮安</c:v>
                </c:pt>
                <c:pt idx="2">
                  <c:v>盐城</c:v>
                </c:pt>
                <c:pt idx="3">
                  <c:v>徐州</c:v>
                </c:pt>
                <c:pt idx="4">
                  <c:v>苏州</c:v>
                </c:pt>
                <c:pt idx="5">
                  <c:v>宿迁</c:v>
                </c:pt>
                <c:pt idx="6">
                  <c:v>镇江</c:v>
                </c:pt>
                <c:pt idx="7">
                  <c:v>南京</c:v>
                </c:pt>
                <c:pt idx="8">
                  <c:v>南通</c:v>
                </c:pt>
                <c:pt idx="9">
                  <c:v>扬州</c:v>
                </c:pt>
                <c:pt idx="10">
                  <c:v>无锡</c:v>
                </c:pt>
                <c:pt idx="11">
                  <c:v>泰州</c:v>
                </c:pt>
                <c:pt idx="12">
                  <c:v>常州</c:v>
                </c:pt>
              </c:strCache>
            </c:strRef>
          </c:cat>
          <c:val>
            <c:numRef>
              <c:f>日均流量!$B$22:$B$34</c:f>
              <c:numCache>
                <c:formatCode>General</c:formatCode>
                <c:ptCount val="13"/>
                <c:pt idx="0">
                  <c:v>106</c:v>
                </c:pt>
                <c:pt idx="1">
                  <c:v>106</c:v>
                </c:pt>
                <c:pt idx="2">
                  <c:v>134</c:v>
                </c:pt>
                <c:pt idx="3">
                  <c:v>213</c:v>
                </c:pt>
                <c:pt idx="4">
                  <c:v>742</c:v>
                </c:pt>
                <c:pt idx="5">
                  <c:v>126</c:v>
                </c:pt>
                <c:pt idx="6">
                  <c:v>94</c:v>
                </c:pt>
                <c:pt idx="7">
                  <c:v>258</c:v>
                </c:pt>
                <c:pt idx="8">
                  <c:v>263</c:v>
                </c:pt>
                <c:pt idx="9">
                  <c:v>112</c:v>
                </c:pt>
                <c:pt idx="10">
                  <c:v>329</c:v>
                </c:pt>
                <c:pt idx="11">
                  <c:v>101</c:v>
                </c:pt>
                <c:pt idx="12">
                  <c:v>117</c:v>
                </c:pt>
              </c:numCache>
            </c:numRef>
          </c:val>
        </c:ser>
        <c:ser>
          <c:idx val="1"/>
          <c:order val="1"/>
          <c:tx>
            <c:v>本周(09-11~17日均)</c:v>
          </c:tx>
          <c:spPr>
            <a:solidFill>
              <a:srgbClr val="4E79A7"/>
            </a:solidFill>
          </c:spPr>
          <c:dLbls>
            <c:numFmt formatCode="#,##0" sourceLinked="0"/>
            <c:txPr>
              <a:bodyPr/>
              <a:lstStyle/>
              <a:p>
                <a:pPr>
                  <a:defRPr sz="900" baseline="0">
                    <a:latin typeface="微软雅黑"/>
                  </a:defRPr>
                </a:pPr>
                <a:endParaRPr lang="en-US"/>
              </a:p>
            </c:txPr>
            <c:showVal val="1"/>
          </c:dLbls>
          <c:cat>
            <c:strRef>
              <c:f>日均流量!$A$22:$A$34</c:f>
              <c:strCache>
                <c:ptCount val="13"/>
                <c:pt idx="0">
                  <c:v>连云港</c:v>
                </c:pt>
                <c:pt idx="1">
                  <c:v>淮安</c:v>
                </c:pt>
                <c:pt idx="2">
                  <c:v>盐城</c:v>
                </c:pt>
                <c:pt idx="3">
                  <c:v>徐州</c:v>
                </c:pt>
                <c:pt idx="4">
                  <c:v>苏州</c:v>
                </c:pt>
                <c:pt idx="5">
                  <c:v>宿迁</c:v>
                </c:pt>
                <c:pt idx="6">
                  <c:v>镇江</c:v>
                </c:pt>
                <c:pt idx="7">
                  <c:v>南京</c:v>
                </c:pt>
                <c:pt idx="8">
                  <c:v>南通</c:v>
                </c:pt>
                <c:pt idx="9">
                  <c:v>扬州</c:v>
                </c:pt>
                <c:pt idx="10">
                  <c:v>无锡</c:v>
                </c:pt>
                <c:pt idx="11">
                  <c:v>泰州</c:v>
                </c:pt>
                <c:pt idx="12">
                  <c:v>常州</c:v>
                </c:pt>
              </c:strCache>
            </c:strRef>
          </c:cat>
          <c:val>
            <c:numRef>
              <c:f>日均流量!$C$22:$C$34</c:f>
              <c:numCache>
                <c:formatCode>General</c:formatCode>
                <c:ptCount val="13"/>
                <c:pt idx="0">
                  <c:v>103</c:v>
                </c:pt>
                <c:pt idx="1">
                  <c:v>104</c:v>
                </c:pt>
                <c:pt idx="2">
                  <c:v>132</c:v>
                </c:pt>
                <c:pt idx="3">
                  <c:v>210</c:v>
                </c:pt>
                <c:pt idx="4">
                  <c:v>736</c:v>
                </c:pt>
                <c:pt idx="5">
                  <c:v>125</c:v>
                </c:pt>
                <c:pt idx="6">
                  <c:v>93</c:v>
                </c:pt>
                <c:pt idx="7">
                  <c:v>258</c:v>
                </c:pt>
                <c:pt idx="8">
                  <c:v>263</c:v>
                </c:pt>
                <c:pt idx="9">
                  <c:v>112</c:v>
                </c:pt>
                <c:pt idx="10">
                  <c:v>330</c:v>
                </c:pt>
                <c:pt idx="11">
                  <c:v>101</c:v>
                </c:pt>
                <c:pt idx="12">
                  <c:v>118</c:v>
                </c:pt>
              </c:numCache>
            </c:numRef>
          </c:val>
        </c:ser>
        <c:gapWidth val="60"/>
        <c:overlap val="-10"/>
        <c:axId val="50020001"/>
        <c:axId val="50020002"/>
      </c:barChart>
      <c:lineChart>
        <c:grouping val="standard"/>
        <c:ser>
          <c:idx val="2"/>
          <c:order val="2"/>
          <c:tx>
            <c:v>增幅</c:v>
          </c:tx>
          <c:spPr>
            <a:ln w="22225">
              <a:solidFill>
                <a:srgbClr val="E15759"/>
              </a:solidFill>
            </a:ln>
          </c:spPr>
          <c:marker>
            <c:symbol val="circle"/>
            <c:size val="6"/>
            <c:spPr>
              <a:solidFill>
                <a:srgbClr val="FFFFFF"/>
              </a:solidFill>
              <a:ln>
                <a:solidFill>
                  <a:srgbClr val="E15759"/>
                </a:solidFill>
              </a:ln>
            </c:spPr>
          </c:marker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2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3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4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5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6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7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8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9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0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1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2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numFmt formatCode="0.0&quot;%&quot;;-0.0&quot;%&quot;" sourceLinked="0"/>
            <c:txPr>
              <a:bodyPr/>
              <a:lstStyle/>
              <a:p>
                <a:pPr>
                  <a:defRPr sz="900" baseline="0">
                    <a:solidFill>
                      <a:srgbClr val="C0392B"/>
                    </a:solidFill>
                    <a:latin typeface="微软雅黑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日均流量!$A$22:$A$34</c:f>
              <c:strCache>
                <c:ptCount val="13"/>
                <c:pt idx="0">
                  <c:v>连云港</c:v>
                </c:pt>
                <c:pt idx="1">
                  <c:v>淮安</c:v>
                </c:pt>
                <c:pt idx="2">
                  <c:v>盐城</c:v>
                </c:pt>
                <c:pt idx="3">
                  <c:v>徐州</c:v>
                </c:pt>
                <c:pt idx="4">
                  <c:v>苏州</c:v>
                </c:pt>
                <c:pt idx="5">
                  <c:v>宿迁</c:v>
                </c:pt>
                <c:pt idx="6">
                  <c:v>镇江</c:v>
                </c:pt>
                <c:pt idx="7">
                  <c:v>南京</c:v>
                </c:pt>
                <c:pt idx="8">
                  <c:v>南通</c:v>
                </c:pt>
                <c:pt idx="9">
                  <c:v>扬州</c:v>
                </c:pt>
                <c:pt idx="10">
                  <c:v>无锡</c:v>
                </c:pt>
                <c:pt idx="11">
                  <c:v>泰州</c:v>
                </c:pt>
                <c:pt idx="12">
                  <c:v>常州</c:v>
                </c:pt>
              </c:strCache>
            </c:strRef>
          </c:cat>
          <c:val>
            <c:numRef>
              <c:f>'基准线数据'!$C$1:$C$13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3"/>
          <c:order val="3"/>
          <c:tx>
            <c:v>0基准线</c:v>
          </c:tx>
          <c:spPr>
            <a:ln w="12700">
              <a:solidFill>
                <a:srgbClr val="999999"/>
              </a:solidFill>
              <a:prstDash val="dash"/>
            </a:ln>
          </c:spPr>
          <c:marker>
            <c:symbol val="none"/>
          </c:marker>
          <c:cat>
            <c:strRef>
              <c:f>日均流量!$A$22:$A$34</c:f>
              <c:strCache>
                <c:ptCount val="13"/>
                <c:pt idx="0">
                  <c:v>连云港</c:v>
                </c:pt>
                <c:pt idx="1">
                  <c:v>淮安</c:v>
                </c:pt>
                <c:pt idx="2">
                  <c:v>盐城</c:v>
                </c:pt>
                <c:pt idx="3">
                  <c:v>徐州</c:v>
                </c:pt>
                <c:pt idx="4">
                  <c:v>苏州</c:v>
                </c:pt>
                <c:pt idx="5">
                  <c:v>宿迁</c:v>
                </c:pt>
                <c:pt idx="6">
                  <c:v>镇江</c:v>
                </c:pt>
                <c:pt idx="7">
                  <c:v>南京</c:v>
                </c:pt>
                <c:pt idx="8">
                  <c:v>南通</c:v>
                </c:pt>
                <c:pt idx="9">
                  <c:v>扬州</c:v>
                </c:pt>
                <c:pt idx="10">
                  <c:v>无锡</c:v>
                </c:pt>
                <c:pt idx="11">
                  <c:v>泰州</c:v>
                </c:pt>
                <c:pt idx="12">
                  <c:v>常州</c:v>
                </c:pt>
              </c:strCache>
            </c:strRef>
          </c:cat>
          <c:val>
            <c:numRef>
              <c:f>'基准线数据'!$A$1:$A$13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marker val="1"/>
        <c:axId val="60020001"/>
        <c:axId val="60020002"/>
      </c:lineChart>
      <c:catAx>
        <c:axId val="50020001"/>
        <c:scaling>
          <c:orientation val="minMax"/>
        </c:scaling>
        <c:axPos val="b"/>
        <c:tickLblPos val="nextTo"/>
        <c:txPr>
          <a:bodyPr rot="-2700000" vert="horz"/>
          <a:lstStyle/>
          <a:p>
            <a:pPr>
              <a:defRPr sz="1000" baseline="0">
                <a:latin typeface="微软雅黑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039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</a:t>
                </a:r>
              </a:p>
            </c:rich>
          </c:tx>
          <c:layout/>
        </c:title>
        <c:numFmt formatCode="#,##0" sourceLinked="0"/>
        <c:tickLblPos val="nextTo"/>
        <c:txPr>
          <a:bodyPr/>
          <a:lstStyle/>
          <a:p>
            <a:pPr>
              <a:defRPr sz="1000" baseline="0">
                <a:latin typeface="微软雅黑"/>
              </a:defRPr>
            </a:pPr>
            <a:endParaRPr lang="en-US"/>
          </a:p>
        </c:txPr>
        <c:crossAx val="50020001"/>
        <c:crosses val="autoZero"/>
        <c:crossBetween val="between"/>
      </c:valAx>
      <c:valAx>
        <c:axId val="60020002"/>
        <c:scaling>
          <c:orientation val="minMax"/>
          <c:max val="3.9"/>
          <c:min val="-15.0"/>
        </c:scaling>
        <c:axPos val="r"/>
        <c:title>
          <c:tx>
            <c:rich>
              <a:bodyPr rot="-5400000" vert="horz"/>
              <a:lstStyle/>
              <a:p>
                <a:pPr>
                  <a:defRPr sz="1000" baseline="0">
                    <a:latin typeface="微软雅黑"/>
                  </a:defRPr>
                </a:pPr>
                <a:r>
                  <a:rPr lang="en-US" sz="1000" baseline="0">
                    <a:latin typeface="微软雅黑"/>
                  </a:rPr>
                  <a:t>增幅(%)</a:t>
                </a:r>
              </a:p>
            </c:rich>
          </c:tx>
          <c:layout/>
        </c:title>
        <c:numFmt formatCode="General" sourceLinked="1"/>
        <c:tickLblPos val="none"/>
        <c:spPr>
          <a:ln>
            <a:noFill/>
          </a:ln>
        </c:spPr>
        <c:crossAx val="60020001"/>
        <c:crosses val="max"/>
        <c:crossBetween val="between"/>
      </c:valAx>
      <c:catAx>
        <c:axId val="60020001"/>
        <c:scaling>
          <c:orientation val="minMax"/>
        </c:scaling>
        <c:delete val="1"/>
        <c:axPos val="b"/>
        <c:tickLblPos val="none"/>
        <c:crossAx val="60020002"/>
        <c:crosses val="autoZero"/>
        <c:auto val="1"/>
        <c:lblAlgn val="ctr"/>
        <c:lblOffset val="100"/>
      </c:catAx>
    </c:plotArea>
    <c:legend>
      <c:legendPos val="b"/>
      <c:legendEntry>
        <c:idx val="3"/>
        <c:delete val="1"/>
      </c:legendEntry>
      <c:layout/>
      <c:txPr>
        <a:bodyPr/>
        <a:lstStyle/>
        <a:p>
          <a:pPr>
            <a:defRPr sz="1000" baseline="0">
              <a:latin typeface="微软雅黑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247650</xdr:colOff>
      <xdr:row>17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247650</xdr:colOff>
      <xdr:row>17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0:F35"/>
  <sheetViews>
    <sheetView tabSelected="1" workbookViewId="0"/>
  </sheetViews>
  <sheetFormatPr defaultRowHeight="15"/>
  <cols>
    <col min="1" max="1" width="10.7109375" customWidth="1"/>
    <col min="2" max="4" width="14.7109375" customWidth="1"/>
    <col min="5" max="6" width="10.7109375" customWidth="1"/>
  </cols>
  <sheetData>
    <row r="20" spans="1:6">
      <c r="A20" s="1" t="s">
        <v>0</v>
      </c>
    </row>
    <row r="21" spans="1:6">
      <c r="A21" s="2" t="s">
        <v>1</v>
      </c>
      <c r="B21" s="2" t="s">
        <v>2</v>
      </c>
      <c r="C21" s="2" t="s">
        <v>3</v>
      </c>
      <c r="D21" s="2" t="s">
        <v>4</v>
      </c>
      <c r="E21" s="2" t="s">
        <v>5</v>
      </c>
      <c r="F21" s="2" t="s">
        <v>6</v>
      </c>
    </row>
    <row r="22" spans="1:6">
      <c r="A22" s="3" t="s">
        <v>7</v>
      </c>
      <c r="B22" s="4">
        <v>9.550000000000001</v>
      </c>
      <c r="C22" s="4">
        <v>9.390000000000001</v>
      </c>
      <c r="D22" s="4">
        <v>-0.17</v>
      </c>
      <c r="E22" s="5">
        <v>-1.75</v>
      </c>
      <c r="F22" s="6">
        <v>4.65</v>
      </c>
    </row>
    <row r="23" spans="1:6">
      <c r="A23" s="3" t="s">
        <v>8</v>
      </c>
      <c r="B23" s="4">
        <v>17.54</v>
      </c>
      <c r="C23" s="4">
        <v>17.31</v>
      </c>
      <c r="D23" s="4">
        <v>-0.23</v>
      </c>
      <c r="E23" s="5">
        <v>-1.3</v>
      </c>
      <c r="F23" s="6">
        <v>8.58</v>
      </c>
    </row>
    <row r="24" spans="1:6">
      <c r="A24" s="3" t="s">
        <v>9</v>
      </c>
      <c r="B24" s="4">
        <v>11.86</v>
      </c>
      <c r="C24" s="4">
        <v>11.72</v>
      </c>
      <c r="D24" s="4">
        <v>-0.13</v>
      </c>
      <c r="E24" s="5">
        <v>-1.12</v>
      </c>
      <c r="F24" s="6">
        <v>5.81</v>
      </c>
    </row>
    <row r="25" spans="1:6">
      <c r="A25" s="3" t="s">
        <v>10</v>
      </c>
      <c r="B25" s="4">
        <v>9.91</v>
      </c>
      <c r="C25" s="4">
        <v>9.82</v>
      </c>
      <c r="D25" s="4">
        <v>-0.09</v>
      </c>
      <c r="E25" s="5">
        <v>-0.92</v>
      </c>
      <c r="F25" s="6">
        <v>4.87</v>
      </c>
    </row>
    <row r="26" spans="1:6">
      <c r="A26" s="3" t="s">
        <v>11</v>
      </c>
      <c r="B26" s="4">
        <v>13.65</v>
      </c>
      <c r="C26" s="4">
        <v>13.53</v>
      </c>
      <c r="D26" s="4">
        <v>-0.11</v>
      </c>
      <c r="E26" s="5">
        <v>-0.83</v>
      </c>
      <c r="F26" s="6">
        <v>6.71</v>
      </c>
    </row>
    <row r="27" spans="1:6">
      <c r="A27" s="3" t="s">
        <v>12</v>
      </c>
      <c r="B27" s="4">
        <v>20.54</v>
      </c>
      <c r="C27" s="4">
        <v>20.55</v>
      </c>
      <c r="D27" s="4">
        <v>0.01</v>
      </c>
      <c r="E27" s="7">
        <v>0.04</v>
      </c>
      <c r="F27" s="6">
        <v>10.18</v>
      </c>
    </row>
    <row r="28" spans="1:6">
      <c r="A28" s="3" t="s">
        <v>13</v>
      </c>
      <c r="B28" s="4">
        <v>7.41</v>
      </c>
      <c r="C28" s="4">
        <v>7.42</v>
      </c>
      <c r="D28" s="4">
        <v>0.01</v>
      </c>
      <c r="E28" s="7">
        <v>0.07000000000000001</v>
      </c>
      <c r="F28" s="6">
        <v>3.68</v>
      </c>
    </row>
    <row r="29" spans="1:6">
      <c r="A29" s="3" t="s">
        <v>14</v>
      </c>
      <c r="B29" s="4">
        <v>20.35</v>
      </c>
      <c r="C29" s="4">
        <v>20.39</v>
      </c>
      <c r="D29" s="4">
        <v>0.04</v>
      </c>
      <c r="E29" s="7">
        <v>0.2</v>
      </c>
      <c r="F29" s="6">
        <v>10.1</v>
      </c>
    </row>
    <row r="30" spans="1:6">
      <c r="A30" s="3" t="s">
        <v>15</v>
      </c>
      <c r="B30" s="4">
        <v>6.46</v>
      </c>
      <c r="C30" s="4">
        <v>6.48</v>
      </c>
      <c r="D30" s="4">
        <v>0.02</v>
      </c>
      <c r="E30" s="7">
        <v>0.35</v>
      </c>
      <c r="F30" s="6">
        <v>3.21</v>
      </c>
    </row>
    <row r="31" spans="1:6">
      <c r="A31" s="3" t="s">
        <v>16</v>
      </c>
      <c r="B31" s="4">
        <v>46.37</v>
      </c>
      <c r="C31" s="4">
        <v>46.53</v>
      </c>
      <c r="D31" s="4">
        <v>0.16</v>
      </c>
      <c r="E31" s="7">
        <v>0.36</v>
      </c>
      <c r="F31" s="6">
        <v>23.06</v>
      </c>
    </row>
    <row r="32" spans="1:6">
      <c r="A32" s="3" t="s">
        <v>17</v>
      </c>
      <c r="B32" s="4">
        <v>7.97</v>
      </c>
      <c r="C32" s="4">
        <v>8</v>
      </c>
      <c r="D32" s="4">
        <v>0.03</v>
      </c>
      <c r="E32" s="7">
        <v>0.41</v>
      </c>
      <c r="F32" s="6">
        <v>3.97</v>
      </c>
    </row>
    <row r="33" spans="1:6">
      <c r="A33" s="3" t="s">
        <v>18</v>
      </c>
      <c r="B33" s="4">
        <v>11.37</v>
      </c>
      <c r="C33" s="4">
        <v>11.43</v>
      </c>
      <c r="D33" s="4">
        <v>0.06</v>
      </c>
      <c r="E33" s="7">
        <v>0.53</v>
      </c>
      <c r="F33" s="6">
        <v>5.67</v>
      </c>
    </row>
    <row r="34" spans="1:6">
      <c r="A34" s="3" t="s">
        <v>19</v>
      </c>
      <c r="B34" s="4">
        <v>19.01</v>
      </c>
      <c r="C34" s="4">
        <v>19.2</v>
      </c>
      <c r="D34" s="4">
        <v>0.2</v>
      </c>
      <c r="E34" s="7">
        <v>1.03</v>
      </c>
      <c r="F34" s="6">
        <v>9.52</v>
      </c>
    </row>
    <row r="35" spans="1:6">
      <c r="A35" s="2" t="s">
        <v>20</v>
      </c>
      <c r="B35" s="8">
        <v>201.98</v>
      </c>
      <c r="C35" s="8">
        <v>201.78</v>
      </c>
      <c r="D35" s="8">
        <v>-0.2</v>
      </c>
      <c r="E35" s="8">
        <v>-0.1</v>
      </c>
      <c r="F35" s="8">
        <v>100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0:G35"/>
  <sheetViews>
    <sheetView workbookViewId="0"/>
  </sheetViews>
  <sheetFormatPr defaultRowHeight="15"/>
  <cols>
    <col min="1" max="1" width="10.7109375" customWidth="1"/>
    <col min="2" max="4" width="14.7109375" customWidth="1"/>
    <col min="5" max="6" width="10.7109375" customWidth="1"/>
    <col min="7" max="7" width="13.7109375" customWidth="1"/>
  </cols>
  <sheetData>
    <row r="20" spans="1:7">
      <c r="A20" s="1" t="s">
        <v>21</v>
      </c>
    </row>
    <row r="21" spans="1:7">
      <c r="A21" s="2" t="s">
        <v>1</v>
      </c>
      <c r="B21" s="2" t="s">
        <v>22</v>
      </c>
      <c r="C21" s="2" t="s">
        <v>23</v>
      </c>
      <c r="D21" s="2" t="s">
        <v>24</v>
      </c>
      <c r="E21" s="2" t="s">
        <v>5</v>
      </c>
      <c r="F21" s="2" t="s">
        <v>6</v>
      </c>
      <c r="G21" s="2" t="s">
        <v>25</v>
      </c>
    </row>
    <row r="22" spans="1:7">
      <c r="A22" s="3" t="s">
        <v>7</v>
      </c>
      <c r="B22" s="9">
        <v>106</v>
      </c>
      <c r="C22" s="9">
        <v>103</v>
      </c>
      <c r="D22" s="10">
        <v>-3.5</v>
      </c>
      <c r="E22" s="5">
        <v>-3.26</v>
      </c>
      <c r="F22" s="6">
        <v>3.82</v>
      </c>
      <c r="G22" s="4">
        <v>33.59</v>
      </c>
    </row>
    <row r="23" spans="1:7">
      <c r="A23" s="3" t="s">
        <v>9</v>
      </c>
      <c r="B23" s="9">
        <v>106</v>
      </c>
      <c r="C23" s="9">
        <v>104</v>
      </c>
      <c r="D23" s="10">
        <v>-2.1</v>
      </c>
      <c r="E23" s="5">
        <v>-1.95</v>
      </c>
      <c r="F23" s="6">
        <v>3.88</v>
      </c>
      <c r="G23" s="4">
        <v>27.32</v>
      </c>
    </row>
    <row r="24" spans="1:7">
      <c r="A24" s="3" t="s">
        <v>11</v>
      </c>
      <c r="B24" s="9">
        <v>134</v>
      </c>
      <c r="C24" s="9">
        <v>132</v>
      </c>
      <c r="D24" s="10">
        <v>-2</v>
      </c>
      <c r="E24" s="5">
        <v>-1.46</v>
      </c>
      <c r="F24" s="6">
        <v>4.93</v>
      </c>
      <c r="G24" s="4">
        <v>30.07</v>
      </c>
    </row>
    <row r="25" spans="1:7">
      <c r="A25" s="3" t="s">
        <v>8</v>
      </c>
      <c r="B25" s="9">
        <v>213</v>
      </c>
      <c r="C25" s="9">
        <v>210</v>
      </c>
      <c r="D25" s="10">
        <v>-2.3</v>
      </c>
      <c r="E25" s="5">
        <v>-1.09</v>
      </c>
      <c r="F25" s="6">
        <v>7.83</v>
      </c>
      <c r="G25" s="4">
        <v>37.32</v>
      </c>
    </row>
    <row r="26" spans="1:7">
      <c r="A26" s="3" t="s">
        <v>16</v>
      </c>
      <c r="B26" s="9">
        <v>742</v>
      </c>
      <c r="C26" s="9">
        <v>736</v>
      </c>
      <c r="D26" s="10">
        <v>-6.4</v>
      </c>
      <c r="E26" s="5">
        <v>-0.87</v>
      </c>
      <c r="F26" s="6">
        <v>27.4</v>
      </c>
      <c r="G26" s="4">
        <v>48.59</v>
      </c>
    </row>
    <row r="27" spans="1:7">
      <c r="A27" s="3" t="s">
        <v>10</v>
      </c>
      <c r="B27" s="9">
        <v>126</v>
      </c>
      <c r="C27" s="9">
        <v>125</v>
      </c>
      <c r="D27" s="10">
        <v>-0.9</v>
      </c>
      <c r="E27" s="5">
        <v>-0.72</v>
      </c>
      <c r="F27" s="6">
        <v>4.65</v>
      </c>
      <c r="G27" s="4">
        <v>39.06</v>
      </c>
    </row>
    <row r="28" spans="1:7">
      <c r="A28" s="3" t="s">
        <v>15</v>
      </c>
      <c r="B28" s="9">
        <v>94</v>
      </c>
      <c r="C28" s="9">
        <v>93</v>
      </c>
      <c r="D28" s="10">
        <v>-0.1</v>
      </c>
      <c r="E28" s="5">
        <v>-0.12</v>
      </c>
      <c r="F28" s="6">
        <v>3.48</v>
      </c>
      <c r="G28" s="4">
        <v>44.32</v>
      </c>
    </row>
    <row r="29" spans="1:7">
      <c r="A29" s="3" t="s">
        <v>19</v>
      </c>
      <c r="B29" s="9">
        <v>258</v>
      </c>
      <c r="C29" s="9">
        <v>258</v>
      </c>
      <c r="D29" s="10">
        <v>0</v>
      </c>
      <c r="E29" s="7">
        <v>0.01</v>
      </c>
      <c r="F29" s="6">
        <v>9.619999999999999</v>
      </c>
      <c r="G29" s="4">
        <v>41.33</v>
      </c>
    </row>
    <row r="30" spans="1:7">
      <c r="A30" s="3" t="s">
        <v>12</v>
      </c>
      <c r="B30" s="9">
        <v>263</v>
      </c>
      <c r="C30" s="9">
        <v>263</v>
      </c>
      <c r="D30" s="10">
        <v>0.2</v>
      </c>
      <c r="E30" s="7">
        <v>0.06</v>
      </c>
      <c r="F30" s="6">
        <v>9.789999999999999</v>
      </c>
      <c r="G30" s="4">
        <v>39.32</v>
      </c>
    </row>
    <row r="31" spans="1:7">
      <c r="A31" s="3" t="s">
        <v>13</v>
      </c>
      <c r="B31" s="9">
        <v>112</v>
      </c>
      <c r="C31" s="9">
        <v>112</v>
      </c>
      <c r="D31" s="10">
        <v>0.2</v>
      </c>
      <c r="E31" s="7">
        <v>0.18</v>
      </c>
      <c r="F31" s="6">
        <v>4.16</v>
      </c>
      <c r="G31" s="4">
        <v>46.29</v>
      </c>
    </row>
    <row r="32" spans="1:7">
      <c r="A32" s="3" t="s">
        <v>14</v>
      </c>
      <c r="B32" s="9">
        <v>329</v>
      </c>
      <c r="C32" s="9">
        <v>330</v>
      </c>
      <c r="D32" s="10">
        <v>0.7</v>
      </c>
      <c r="E32" s="7">
        <v>0.2</v>
      </c>
      <c r="F32" s="6">
        <v>12.27</v>
      </c>
      <c r="G32" s="4">
        <v>49.65</v>
      </c>
    </row>
    <row r="33" spans="1:7">
      <c r="A33" s="3" t="s">
        <v>17</v>
      </c>
      <c r="B33" s="9">
        <v>101</v>
      </c>
      <c r="C33" s="9">
        <v>101</v>
      </c>
      <c r="D33" s="10">
        <v>0.2</v>
      </c>
      <c r="E33" s="7">
        <v>0.22</v>
      </c>
      <c r="F33" s="6">
        <v>3.76</v>
      </c>
      <c r="G33" s="4">
        <v>38.77</v>
      </c>
    </row>
    <row r="34" spans="1:7">
      <c r="A34" s="3" t="s">
        <v>18</v>
      </c>
      <c r="B34" s="9">
        <v>117</v>
      </c>
      <c r="C34" s="9">
        <v>118</v>
      </c>
      <c r="D34" s="10">
        <v>1.3</v>
      </c>
      <c r="E34" s="7">
        <v>1.09</v>
      </c>
      <c r="F34" s="6">
        <v>4.4</v>
      </c>
      <c r="G34" s="4">
        <v>31.75</v>
      </c>
    </row>
    <row r="35" spans="1:7">
      <c r="A35" s="2" t="s">
        <v>20</v>
      </c>
      <c r="B35" s="11">
        <v>2701</v>
      </c>
      <c r="C35" s="11">
        <v>2686</v>
      </c>
      <c r="D35" s="12">
        <v>-14.7</v>
      </c>
      <c r="E35" s="8">
        <v>-0.54</v>
      </c>
      <c r="F35" s="8">
        <v>100</v>
      </c>
      <c r="G35" s="8">
        <v>40.89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>
        <v>0</v>
      </c>
      <c r="B1">
        <f>ROUND('周日均用户数'!E22,1)</f>
        <v>0</v>
      </c>
      <c r="C1">
        <f>ROUND('日均流量'!E22,1)</f>
        <v>0</v>
      </c>
    </row>
    <row r="2" spans="1:3">
      <c r="A2">
        <v>0</v>
      </c>
      <c r="B2">
        <f>ROUND('周日均用户数'!E23,1)</f>
        <v>0</v>
      </c>
      <c r="C2">
        <f>ROUND('日均流量'!E23,1)</f>
        <v>0</v>
      </c>
    </row>
    <row r="3" spans="1:3">
      <c r="A3">
        <v>0</v>
      </c>
      <c r="B3">
        <f>ROUND('周日均用户数'!E24,1)</f>
        <v>0</v>
      </c>
      <c r="C3">
        <f>ROUND('日均流量'!E24,1)</f>
        <v>0</v>
      </c>
    </row>
    <row r="4" spans="1:3">
      <c r="A4">
        <v>0</v>
      </c>
      <c r="B4">
        <f>ROUND('周日均用户数'!E25,1)</f>
        <v>0</v>
      </c>
      <c r="C4">
        <f>ROUND('日均流量'!E25,1)</f>
        <v>0</v>
      </c>
    </row>
    <row r="5" spans="1:3">
      <c r="A5">
        <v>0</v>
      </c>
      <c r="B5">
        <f>ROUND('周日均用户数'!E26,1)</f>
        <v>0</v>
      </c>
      <c r="C5">
        <f>ROUND('日均流量'!E26,1)</f>
        <v>0</v>
      </c>
    </row>
    <row r="6" spans="1:3">
      <c r="A6">
        <v>0</v>
      </c>
      <c r="B6">
        <f>ROUND('周日均用户数'!E27,1)</f>
        <v>0</v>
      </c>
      <c r="C6">
        <f>ROUND('日均流量'!E27,1)</f>
        <v>0</v>
      </c>
    </row>
    <row r="7" spans="1:3">
      <c r="A7">
        <v>0</v>
      </c>
      <c r="B7">
        <f>ROUND('周日均用户数'!E28,1)</f>
        <v>0</v>
      </c>
      <c r="C7">
        <f>ROUND('日均流量'!E28,1)</f>
        <v>0</v>
      </c>
    </row>
    <row r="8" spans="1:3">
      <c r="A8">
        <v>0</v>
      </c>
      <c r="B8">
        <f>ROUND('周日均用户数'!E29,1)</f>
        <v>0</v>
      </c>
      <c r="C8">
        <f>ROUND('日均流量'!E29,1)</f>
        <v>0</v>
      </c>
    </row>
    <row r="9" spans="1:3">
      <c r="A9">
        <v>0</v>
      </c>
      <c r="B9">
        <f>ROUND('周日均用户数'!E30,1)</f>
        <v>0</v>
      </c>
      <c r="C9">
        <f>ROUND('日均流量'!E30,1)</f>
        <v>0</v>
      </c>
    </row>
    <row r="10" spans="1:3">
      <c r="A10">
        <v>0</v>
      </c>
      <c r="B10">
        <f>ROUND('周日均用户数'!E31,1)</f>
        <v>0</v>
      </c>
      <c r="C10">
        <f>ROUND('日均流量'!E31,1)</f>
        <v>0</v>
      </c>
    </row>
    <row r="11" spans="1:3">
      <c r="A11">
        <v>0</v>
      </c>
      <c r="B11">
        <f>ROUND('周日均用户数'!E32,1)</f>
        <v>0</v>
      </c>
      <c r="C11">
        <f>ROUND('日均流量'!E32,1)</f>
        <v>0</v>
      </c>
    </row>
    <row r="12" spans="1:3">
      <c r="A12">
        <v>0</v>
      </c>
      <c r="B12">
        <f>ROUND('周日均用户数'!E33,1)</f>
        <v>0</v>
      </c>
      <c r="C12">
        <f>ROUND('日均流量'!E33,1)</f>
        <v>0</v>
      </c>
    </row>
    <row r="13" spans="1:3">
      <c r="A13">
        <v>0</v>
      </c>
      <c r="B13">
        <f>ROUND('周日均用户数'!E34,1)</f>
        <v>0</v>
      </c>
      <c r="C13">
        <f>ROUND('日均流量'!E34,1)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1" width="16.7109375" customWidth="1"/>
    <col min="2" max="2" width="12.7109375" customWidth="1"/>
    <col min="3" max="3" width="14.7109375" customWidth="1"/>
  </cols>
  <sheetData>
    <row r="1" spans="1:3">
      <c r="A1" s="1" t="s">
        <v>26</v>
      </c>
    </row>
    <row r="2" spans="1:3">
      <c r="A2" s="2" t="s">
        <v>27</v>
      </c>
      <c r="B2" s="2" t="s">
        <v>28</v>
      </c>
      <c r="C2" s="2" t="s">
        <v>29</v>
      </c>
    </row>
    <row r="3" spans="1:3">
      <c r="A3" s="3" t="s">
        <v>30</v>
      </c>
      <c r="B3" s="3" t="s">
        <v>31</v>
      </c>
      <c r="C3" s="4">
        <v>201.04</v>
      </c>
    </row>
    <row r="4" spans="1:3">
      <c r="A4" s="3" t="s">
        <v>32</v>
      </c>
      <c r="B4" s="3" t="s">
        <v>33</v>
      </c>
      <c r="C4" s="4">
        <v>200.67</v>
      </c>
    </row>
    <row r="5" spans="1:3">
      <c r="A5" s="2" t="s">
        <v>34</v>
      </c>
      <c r="B5" s="3" t="s">
        <v>35</v>
      </c>
      <c r="C5" s="13">
        <v>-0.37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周日均用户数</vt:lpstr>
      <vt:lpstr>日均流量</vt:lpstr>
      <vt:lpstr>基准线数据</vt:lpstr>
      <vt:lpstr>期末总用户数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2026-09-18T06:01:14Z</dcterms:created>
  <dcterms:modified xsi:type="dcterms:W3CDTF">2026-09-18T06:01:14Z</dcterms:modified>
</cp:coreProperties>
</file>